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\Documents\MATLAB\JHU\Senior Lab\membranes\"/>
    </mc:Choice>
  </mc:AlternateContent>
  <xr:revisionPtr revIDLastSave="0" documentId="13_ncr:1_{7EDEEFBE-DD8C-4447-A91B-CC2036A38C1A}" xr6:coauthVersionLast="37" xr6:coauthVersionMax="37" xr10:uidLastSave="{00000000-0000-0000-0000-000000000000}"/>
  <bookViews>
    <workbookView xWindow="0" yWindow="0" windowWidth="28800" windowHeight="12165" xr2:uid="{7625BDD7-B747-4B9A-81C6-7AB78D9015C4}"/>
  </bookViews>
  <sheets>
    <sheet name="Sheet1" sheetId="1" r:id="rId1"/>
    <sheet name="RB" sheetId="2" r:id="rId2"/>
    <sheet name="FITC" sheetId="3" r:id="rId3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3" i="2" l="1"/>
  <c r="H4" i="2"/>
  <c r="I4" i="2" s="1"/>
  <c r="I5" i="2"/>
  <c r="I6" i="2"/>
  <c r="I7" i="2"/>
  <c r="I8" i="2"/>
  <c r="I9" i="2"/>
  <c r="I10" i="2"/>
  <c r="I4" i="3"/>
  <c r="I5" i="3"/>
  <c r="I6" i="3"/>
  <c r="I7" i="3"/>
  <c r="I8" i="3"/>
  <c r="G3" i="1" l="1"/>
  <c r="H3" i="1"/>
  <c r="G8" i="1"/>
  <c r="H8" i="1" s="1"/>
  <c r="G9" i="1"/>
  <c r="H9" i="1"/>
  <c r="G10" i="1"/>
  <c r="H10" i="1"/>
  <c r="E8" i="1"/>
  <c r="F8" i="1"/>
  <c r="E2" i="1"/>
  <c r="E3" i="1"/>
  <c r="E4" i="1"/>
  <c r="E5" i="1"/>
  <c r="F5" i="1" s="1"/>
  <c r="E6" i="1"/>
  <c r="E7" i="1"/>
  <c r="F7" i="1" s="1"/>
  <c r="F3" i="1"/>
  <c r="E1" i="1"/>
  <c r="G1" i="1"/>
  <c r="F2" i="1"/>
  <c r="F4" i="1"/>
  <c r="F6" i="1"/>
  <c r="F15" i="1"/>
  <c r="F16" i="1"/>
  <c r="F17" i="1"/>
  <c r="F18" i="1"/>
  <c r="F19" i="1"/>
  <c r="F1" i="1"/>
  <c r="J3" i="2"/>
  <c r="J5" i="2"/>
  <c r="J6" i="2"/>
  <c r="J7" i="2"/>
  <c r="J8" i="2"/>
  <c r="J9" i="2"/>
  <c r="J10" i="2"/>
  <c r="H3" i="2"/>
  <c r="G3" i="3"/>
  <c r="G2" i="1"/>
  <c r="H2" i="1" s="1"/>
  <c r="I16" i="3"/>
  <c r="F12" i="3"/>
  <c r="H12" i="3" s="1"/>
  <c r="I12" i="3" s="1"/>
  <c r="G12" i="3"/>
  <c r="F13" i="3"/>
  <c r="H13" i="3" s="1"/>
  <c r="I13" i="3" s="1"/>
  <c r="G13" i="3"/>
  <c r="F14" i="3"/>
  <c r="H14" i="3" s="1"/>
  <c r="I14" i="3" s="1"/>
  <c r="G14" i="3"/>
  <c r="F15" i="3"/>
  <c r="H15" i="3" s="1"/>
  <c r="I15" i="3" s="1"/>
  <c r="G15" i="3"/>
  <c r="F16" i="3"/>
  <c r="G16" i="3"/>
  <c r="H16" i="3"/>
  <c r="G8" i="3"/>
  <c r="J8" i="3" s="1"/>
  <c r="F4" i="3"/>
  <c r="H4" i="3" s="1"/>
  <c r="G4" i="3"/>
  <c r="J4" i="3" s="1"/>
  <c r="F5" i="3"/>
  <c r="H5" i="3" s="1"/>
  <c r="G5" i="3"/>
  <c r="J5" i="3" s="1"/>
  <c r="F6" i="3"/>
  <c r="H6" i="3" s="1"/>
  <c r="G6" i="3"/>
  <c r="J6" i="3" s="1"/>
  <c r="F7" i="3"/>
  <c r="H7" i="3" s="1"/>
  <c r="G7" i="3"/>
  <c r="J7" i="3" s="1"/>
  <c r="F8" i="3"/>
  <c r="H8" i="3" s="1"/>
  <c r="F3" i="3"/>
  <c r="I15" i="2"/>
  <c r="I16" i="2"/>
  <c r="I17" i="2"/>
  <c r="I18" i="2"/>
  <c r="I19" i="2"/>
  <c r="I20" i="2"/>
  <c r="I14" i="2"/>
  <c r="H14" i="2"/>
  <c r="H15" i="2"/>
  <c r="H16" i="2"/>
  <c r="H17" i="2"/>
  <c r="H18" i="2"/>
  <c r="H19" i="2"/>
  <c r="H20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10" i="2"/>
  <c r="H10" i="2" s="1"/>
  <c r="G10" i="2"/>
  <c r="F9" i="2"/>
  <c r="H9" i="2" s="1"/>
  <c r="G9" i="2"/>
  <c r="G8" i="2"/>
  <c r="F8" i="2"/>
  <c r="G6" i="2"/>
  <c r="F6" i="2"/>
  <c r="G4" i="2"/>
  <c r="G5" i="2"/>
  <c r="G7" i="2"/>
  <c r="G3" i="2"/>
  <c r="J13" i="3" l="1"/>
  <c r="J3" i="3"/>
  <c r="H1" i="1"/>
  <c r="F4" i="2"/>
  <c r="F5" i="2"/>
  <c r="H5" i="2" s="1"/>
  <c r="H6" i="2"/>
  <c r="F7" i="2"/>
  <c r="H7" i="2" s="1"/>
  <c r="H8" i="2"/>
  <c r="J4" i="2" l="1"/>
  <c r="H3" i="3"/>
  <c r="F3" i="2"/>
  <c r="G7" i="1"/>
  <c r="H7" i="1" s="1"/>
  <c r="E17" i="1"/>
  <c r="G17" i="1" s="1"/>
  <c r="G5" i="1"/>
  <c r="H5" i="1" s="1"/>
  <c r="G6" i="1"/>
  <c r="H6" i="1" s="1"/>
  <c r="E19" i="1"/>
  <c r="G19" i="1" s="1"/>
  <c r="E16" i="1"/>
  <c r="G16" i="1" s="1"/>
  <c r="G4" i="1"/>
  <c r="H4" i="1" s="1"/>
  <c r="E18" i="1"/>
  <c r="G18" i="1" s="1"/>
  <c r="E15" i="1"/>
  <c r="G15" i="1" s="1"/>
  <c r="I3" i="3" l="1"/>
  <c r="F14" i="2" l="1"/>
</calcChain>
</file>

<file path=xl/sharedStrings.xml><?xml version="1.0" encoding="utf-8"?>
<sst xmlns="http://schemas.openxmlformats.org/spreadsheetml/2006/main" count="20" uniqueCount="12">
  <si>
    <t>1P</t>
  </si>
  <si>
    <t>2P</t>
  </si>
  <si>
    <t>3P</t>
  </si>
  <si>
    <t>AVERAGE</t>
  </si>
  <si>
    <t>C</t>
  </si>
  <si>
    <t>Cf/Ci</t>
  </si>
  <si>
    <t>Retentate</t>
  </si>
  <si>
    <t>mass</t>
  </si>
  <si>
    <t>Permeate</t>
  </si>
  <si>
    <t>Err</t>
  </si>
  <si>
    <t>ln Ct/Ci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</si>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</sst>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660066"/>
      <color rgb="FFFF6600"/>
      <color rgb="FFCC0099"/>
      <color rgb="FFFF33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RhoB (mixed)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660066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660066"/>
                </a:solidFill>
                <a:prstDash val="sysDot"/>
              </a:ln>
              <a:effectLst/>
            </c:spPr>
            <c:trendlineType val="linear"/>
            <c:forward val="1"/>
            <c:intercept val="0"/>
            <c:dispRSqr val="1"/>
            <c:dispEq val="1"/>
            <c:trendlineLbl>
              <c:layout>
                <c:manualLayout>
                  <c:x val="-5.1123663875844376E-2"/>
                  <c:y val="1.9342449258963558E-3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(Sheet1!$I$1,Sheet1!$I$3,Sheet1!$I$5,Sheet1!$I$7,Sheet1!$I$9)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(Sheet1!$H$1,Sheet1!$H$3,Sheet1!$H$5,Sheet1!$H$7,Sheet1!$H$9)</c:f>
              <c:numCache>
                <c:formatCode>General</c:formatCode>
                <c:ptCount val="5"/>
                <c:pt idx="0">
                  <c:v>0</c:v>
                </c:pt>
                <c:pt idx="1">
                  <c:v>-1.5455937578194174</c:v>
                </c:pt>
                <c:pt idx="2">
                  <c:v>-2.013484462226947</c:v>
                </c:pt>
                <c:pt idx="3">
                  <c:v>-2.3019311935738638</c:v>
                </c:pt>
                <c:pt idx="4">
                  <c:v>-2.6290454062568451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18-448C-AA48-35FF2FE32CB4}"/>
            </c:ext>
          </c:extLst>
        </c:ser>
        <c:ser>
          <c:idx val="2"/>
          <c:order val="1"/>
          <c:tx>
            <c:v>RhoB (clean)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CC0099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CC0099"/>
                </a:solidFill>
                <a:prstDash val="lgDash"/>
              </a:ln>
              <a:effectLst/>
            </c:spPr>
            <c:trendlineType val="linear"/>
            <c:forward val="0.75000000000000011"/>
            <c:intercept val="0"/>
            <c:dispRSqr val="1"/>
            <c:dispEq val="1"/>
            <c:trendlineLbl>
              <c:layout>
                <c:manualLayout>
                  <c:x val="-0.13643784895597114"/>
                  <c:y val="-4.513739385003225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50" b="0" i="0" u="none" strike="noStrike" kern="1200" baseline="0"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5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-0.6874x</a:t>
                    </a:r>
                    <a:br>
                      <a:rPr lang="en-US" sz="105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sz="105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R² = 0.9655</a:t>
                    </a:r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50"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defRPr>
                    </a:pPr>
                    <a:r>
                      <a:rPr lang="en-US" sz="1050" b="1">
                        <a:solidFill>
                          <a:sysClr val="windowText" lastClr="000000"/>
                        </a:solidFill>
                        <a:effectLst/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Rc = 0.3126 </a:t>
                    </a:r>
                  </a:p>
                </c:rich>
              </c:tx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50" b="0" i="0" u="none" strike="noStrike" kern="1200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RB!$A$3:$A$10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RB!$I$3:$I$10</c:f>
              <c:numCache>
                <c:formatCode>General</c:formatCode>
                <c:ptCount val="8"/>
                <c:pt idx="0">
                  <c:v>0</c:v>
                </c:pt>
                <c:pt idx="1">
                  <c:v>-1.1977149797284083</c:v>
                </c:pt>
                <c:pt idx="2">
                  <c:v>-1.8361096758160662</c:v>
                </c:pt>
                <c:pt idx="3">
                  <c:v>-2.0833083313970566</c:v>
                </c:pt>
                <c:pt idx="4">
                  <c:v>-2.8570129801568598</c:v>
                </c:pt>
                <c:pt idx="5">
                  <c:v>-3.5138240906740923</c:v>
                </c:pt>
                <c:pt idx="6">
                  <c:v>-4.0300636042841624</c:v>
                </c:pt>
                <c:pt idx="7">
                  <c:v>-4.5628983695419434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18-448C-AA48-35FF2FE32CB4}"/>
            </c:ext>
          </c:extLst>
        </c:ser>
        <c:ser>
          <c:idx val="1"/>
          <c:order val="2"/>
          <c:tx>
            <c:v>FITC (mixed)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FF6600"/>
              </a:solidFill>
              <a:ln w="9525">
                <a:noFill/>
              </a:ln>
              <a:effectLst/>
            </c:spPr>
          </c:marker>
          <c:xVal>
            <c:numRef>
              <c:f>(Sheet1!$I$4,Sheet1!$I$6,Sheet1!$I$8,Sheet1!$I$10)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(Sheet1!$H$4,Sheet1!$H$6,Sheet1!$H$8,Sheet1!$H$10)</c:f>
              <c:numCache>
                <c:formatCode>General</c:formatCode>
                <c:ptCount val="4"/>
                <c:pt idx="0">
                  <c:v>-0.95410971856246285</c:v>
                </c:pt>
                <c:pt idx="1">
                  <c:v>-0.95664303659972716</c:v>
                </c:pt>
                <c:pt idx="2">
                  <c:v>-0.97139893666833654</c:v>
                </c:pt>
                <c:pt idx="3">
                  <c:v>-1.0045368857776527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18-448C-AA48-35FF2FE32CB4}"/>
            </c:ext>
          </c:extLst>
        </c:ser>
        <c:ser>
          <c:idx val="3"/>
          <c:order val="3"/>
          <c:tx>
            <c:v>FITC (clean)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CC00"/>
              </a:solidFill>
              <a:ln w="9525">
                <a:solidFill>
                  <a:srgbClr val="FFCC00"/>
                </a:solidFill>
              </a:ln>
              <a:effectLst/>
            </c:spPr>
          </c:marker>
          <c:xVal>
            <c:numRef>
              <c:f>FITC!$A$4:$A$7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FITC!$I$4:$I$7</c:f>
              <c:numCache>
                <c:formatCode>General</c:formatCode>
                <c:ptCount val="4"/>
                <c:pt idx="0">
                  <c:v>-0.65138667150695928</c:v>
                </c:pt>
                <c:pt idx="1">
                  <c:v>-0.76247040153212431</c:v>
                </c:pt>
                <c:pt idx="2">
                  <c:v>-0.65806139731687774</c:v>
                </c:pt>
                <c:pt idx="3">
                  <c:v>-0.78313773040922907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318-448C-AA48-35FF2FE32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877680"/>
        <c:axId val="843878336"/>
      </c:scatterChart>
      <c:valAx>
        <c:axId val="8438776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Dilution Volumes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ln w="0"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43878336"/>
        <c:crossesAt val="-6"/>
        <c:crossBetween val="midCat"/>
      </c:valAx>
      <c:valAx>
        <c:axId val="84387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ln(Cr/Cr0)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ln w="0"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43877680"/>
        <c:crossesAt val="0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72666969970771"/>
          <c:y val="8.0695807670875891E-2"/>
          <c:w val="0.16822676062018377"/>
          <c:h val="0.31499420073523865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5.3331802274715658E-2"/>
                  <c:y val="-0.726613123359580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RB!$J$3:$J$10</c:f>
                <c:numCache>
                  <c:formatCode>General</c:formatCode>
                  <c:ptCount val="8"/>
                  <c:pt idx="0">
                    <c:v>5.4422819185860949E-2</c:v>
                  </c:pt>
                  <c:pt idx="1">
                    <c:v>0.11958116973946881</c:v>
                  </c:pt>
                  <c:pt idx="2">
                    <c:v>0.15524508841844498</c:v>
                  </c:pt>
                  <c:pt idx="3">
                    <c:v>3.7010875329271047E-2</c:v>
                  </c:pt>
                  <c:pt idx="4">
                    <c:v>0.1333112679816362</c:v>
                  </c:pt>
                  <c:pt idx="5">
                    <c:v>0.21964639689884335</c:v>
                  </c:pt>
                  <c:pt idx="6">
                    <c:v>0.13736316124591752</c:v>
                  </c:pt>
                  <c:pt idx="7">
                    <c:v>0.19003414335410537</c:v>
                  </c:pt>
                </c:numCache>
              </c:numRef>
            </c:plus>
            <c:minus>
              <c:numRef>
                <c:f>RB!$J$3:$J$10</c:f>
                <c:numCache>
                  <c:formatCode>General</c:formatCode>
                  <c:ptCount val="8"/>
                  <c:pt idx="0">
                    <c:v>5.4422819185860949E-2</c:v>
                  </c:pt>
                  <c:pt idx="1">
                    <c:v>0.11958116973946881</c:v>
                  </c:pt>
                  <c:pt idx="2">
                    <c:v>0.15524508841844498</c:v>
                  </c:pt>
                  <c:pt idx="3">
                    <c:v>3.7010875329271047E-2</c:v>
                  </c:pt>
                  <c:pt idx="4">
                    <c:v>0.1333112679816362</c:v>
                  </c:pt>
                  <c:pt idx="5">
                    <c:v>0.21964639689884335</c:v>
                  </c:pt>
                  <c:pt idx="6">
                    <c:v>0.13736316124591752</c:v>
                  </c:pt>
                  <c:pt idx="7">
                    <c:v>0.19003414335410537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RB!$A$3:$A$10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RB!$I$3:$I$10</c:f>
              <c:numCache>
                <c:formatCode>General</c:formatCode>
                <c:ptCount val="8"/>
                <c:pt idx="0">
                  <c:v>0</c:v>
                </c:pt>
                <c:pt idx="1">
                  <c:v>-1.1977149797284083</c:v>
                </c:pt>
                <c:pt idx="2">
                  <c:v>-1.8361096758160662</c:v>
                </c:pt>
                <c:pt idx="3">
                  <c:v>-2.0833083313970566</c:v>
                </c:pt>
                <c:pt idx="4">
                  <c:v>-2.8570129801568598</c:v>
                </c:pt>
                <c:pt idx="5">
                  <c:v>-3.5138240906740923</c:v>
                </c:pt>
                <c:pt idx="6">
                  <c:v>-4.0300636042841624</c:v>
                </c:pt>
                <c:pt idx="7">
                  <c:v>-4.5628983695419434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04-43B7-A251-0D39B7BD1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134320"/>
        <c:axId val="489134640"/>
      </c:scatterChart>
      <c:valAx>
        <c:axId val="48913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134640"/>
        <c:crosses val="autoZero"/>
        <c:crossBetween val="midCat"/>
      </c:valAx>
      <c:valAx>
        <c:axId val="48913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13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FITC!$A$3:$A$8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FITC!$I$3:$I$8</c:f>
              <c:numCache>
                <c:formatCode>General</c:formatCode>
                <c:ptCount val="6"/>
                <c:pt idx="0">
                  <c:v>0</c:v>
                </c:pt>
                <c:pt idx="1">
                  <c:v>-0.65138667150695928</c:v>
                </c:pt>
                <c:pt idx="2">
                  <c:v>-0.76247040153212431</c:v>
                </c:pt>
                <c:pt idx="3">
                  <c:v>-0.65806139731687774</c:v>
                </c:pt>
                <c:pt idx="4">
                  <c:v>-0.78313773040922907</c:v>
                </c:pt>
                <c:pt idx="5">
                  <c:v>-1.1402494575221858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55-4EF8-85A8-454A4A0C2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862592"/>
        <c:axId val="843863904"/>
      </c:scatterChart>
      <c:valAx>
        <c:axId val="84386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63904"/>
        <c:crosses val="autoZero"/>
        <c:crossBetween val="midCat"/>
      </c:valAx>
      <c:valAx>
        <c:axId val="84386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6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12013</xdr:colOff>
      <xdr:row>0</xdr:row>
      <xdr:rowOff>186150</xdr:rowOff>
    </xdr:from>
    <xdr:to>
      <xdr:col>18</xdr:col>
      <xdr:colOff>571500</xdr:colOff>
      <xdr:row>19</xdr:row>
      <xdr:rowOff>24847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10E9FB-65F3-4220-B4DB-D8A30A00A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352425</xdr:colOff>
      <xdr:row>1</xdr:row>
      <xdr:rowOff>3810</xdr:rowOff>
    </xdr:from>
    <xdr:to>
      <xdr:col>18</xdr:col>
      <xdr:colOff>47625</xdr:colOff>
      <xdr:row>16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368D92-C490-4D61-A170-D480C40F6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495300</xdr:colOff>
      <xdr:row>18</xdr:row>
      <xdr:rowOff>4762</xdr:rowOff>
    </xdr:from>
    <xdr:to>
      <xdr:col>17</xdr:col>
      <xdr:colOff>190500</xdr:colOff>
      <xdr:row>32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7AEC65-2C48-4C97-848F-3627BE677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5435-1FF8-4670-B378-854B71D97855}">
  <dimension ref="A1:J26"/>
  <sheetViews>
    <sheetView tabSelected="1" zoomScale="115" zoomScaleNormal="115" workbookViewId="0">
      <selection activeCell="L23" sqref="L23"/>
    </sheetView>
  </sheetViews>
  <sheetFormatPr defaultRowHeight="15" x14ac:dyDescent="0.25"/>
  <cols>
    <col min="2" max="8" width="9.140625" style="4"/>
    <col min="11" max="11" width="12" bestFit="1" customWidth="1"/>
  </cols>
  <sheetData>
    <row r="1" spans="1:9" s="4" customFormat="1" x14ac:dyDescent="0.25">
      <c r="A1" s="2">
        <v>0</v>
      </c>
      <c r="B1" s="4">
        <v>2708.4</v>
      </c>
      <c r="C1" s="4">
        <v>2369.1</v>
      </c>
      <c r="D1" s="4">
        <v>2107.8000000000002</v>
      </c>
      <c r="E1" s="4">
        <f>AVERAGE(B1:D1)</f>
        <v>2395.1</v>
      </c>
      <c r="F1" s="4">
        <f>STDEVA(B1:E1)/SQRT(COUNT(B1:E1))</f>
        <v>122.94110378551186</v>
      </c>
      <c r="G1" s="4">
        <f>E1/214939</f>
        <v>1.1143161548160176E-2</v>
      </c>
      <c r="H1" s="4">
        <f>LOG(G1/G$1,EXP(1))</f>
        <v>0</v>
      </c>
      <c r="I1" s="4">
        <v>0</v>
      </c>
    </row>
    <row r="2" spans="1:9" s="4" customFormat="1" x14ac:dyDescent="0.25">
      <c r="A2" s="3">
        <v>0</v>
      </c>
      <c r="B2" s="4">
        <v>2665.6</v>
      </c>
      <c r="C2" s="4">
        <v>2357.9</v>
      </c>
      <c r="D2" s="4">
        <v>2262.4</v>
      </c>
      <c r="E2" s="4">
        <f t="shared" ref="E2:E8" si="0">AVERAGE(B2:D2)</f>
        <v>2428.6333333333332</v>
      </c>
      <c r="F2" s="4">
        <f t="shared" ref="F2:F19" si="1">STDEVA(B2:E2)/SQRT(COUNT(B2:E2))</f>
        <v>86.018373360320808</v>
      </c>
      <c r="G2" s="4">
        <f>E2/10414</f>
        <v>0.23320850137635232</v>
      </c>
      <c r="H2" s="4">
        <f>LOG(G2/G$2,EXP(1))</f>
        <v>0</v>
      </c>
      <c r="I2" s="4">
        <v>0</v>
      </c>
    </row>
    <row r="3" spans="1:9" x14ac:dyDescent="0.25">
      <c r="B3" s="4">
        <v>443.5</v>
      </c>
      <c r="C3" s="4">
        <v>616.29999999999995</v>
      </c>
      <c r="D3" s="4">
        <v>472</v>
      </c>
      <c r="E3" s="4">
        <f t="shared" si="0"/>
        <v>510.59999999999997</v>
      </c>
      <c r="F3" s="4">
        <f t="shared" si="1"/>
        <v>37.820695392866575</v>
      </c>
      <c r="G3" s="4">
        <f>E3/214939</f>
        <v>2.3755577163753435E-3</v>
      </c>
      <c r="H3" s="4">
        <f>LOG(G3/G$1,EXP(1))</f>
        <v>-1.5455937578194174</v>
      </c>
      <c r="I3">
        <v>1</v>
      </c>
    </row>
    <row r="4" spans="1:9" x14ac:dyDescent="0.25">
      <c r="B4" s="4">
        <v>854.5</v>
      </c>
      <c r="C4" s="4">
        <v>989.4</v>
      </c>
      <c r="D4" s="4">
        <v>962.3</v>
      </c>
      <c r="E4" s="4">
        <f t="shared" si="0"/>
        <v>935.4</v>
      </c>
      <c r="F4" s="4">
        <f t="shared" si="1"/>
        <v>29.132484732110758</v>
      </c>
      <c r="G4" s="4">
        <f>E4/10414</f>
        <v>8.9821394276934891E-2</v>
      </c>
      <c r="H4" s="4">
        <f>LOG(G4/G$2,EXP(1))</f>
        <v>-0.95410971856246285</v>
      </c>
      <c r="I4">
        <v>1</v>
      </c>
    </row>
    <row r="5" spans="1:9" x14ac:dyDescent="0.25">
      <c r="B5" s="4">
        <v>297.10000000000002</v>
      </c>
      <c r="C5" s="4">
        <v>317.2</v>
      </c>
      <c r="D5" s="4">
        <v>345.1</v>
      </c>
      <c r="E5" s="4">
        <f t="shared" si="0"/>
        <v>319.8</v>
      </c>
      <c r="F5" s="4">
        <f t="shared" si="1"/>
        <v>9.8409857229852751</v>
      </c>
      <c r="G5" s="4">
        <f>E5/214939</f>
        <v>1.4878639986228652E-3</v>
      </c>
      <c r="H5" s="4">
        <f t="shared" ref="H5:H9" si="2">LOG(G5/G$1,EXP(1))</f>
        <v>-2.013484462226947</v>
      </c>
      <c r="I5">
        <v>2</v>
      </c>
    </row>
    <row r="6" spans="1:9" x14ac:dyDescent="0.25">
      <c r="B6" s="4">
        <v>846.2</v>
      </c>
      <c r="C6" s="4">
        <v>955.8</v>
      </c>
      <c r="D6" s="4">
        <v>997.1</v>
      </c>
      <c r="E6" s="4">
        <f t="shared" si="0"/>
        <v>933.0333333333333</v>
      </c>
      <c r="F6" s="4">
        <f t="shared" si="1"/>
        <v>31.836675217253582</v>
      </c>
      <c r="G6" s="4">
        <f>E6/10414</f>
        <v>8.9594136098841301E-2</v>
      </c>
      <c r="H6" s="4">
        <f>LOG(G6/G$2,EXP(1))</f>
        <v>-0.95664303659972716</v>
      </c>
      <c r="I6">
        <v>2</v>
      </c>
    </row>
    <row r="7" spans="1:9" x14ac:dyDescent="0.25">
      <c r="B7" s="4">
        <v>239.5</v>
      </c>
      <c r="C7" s="4">
        <v>248.8</v>
      </c>
      <c r="D7" s="4">
        <v>230.7</v>
      </c>
      <c r="E7" s="4">
        <f t="shared" si="0"/>
        <v>239.66666666666666</v>
      </c>
      <c r="F7" s="4">
        <f t="shared" si="1"/>
        <v>3.6951168978651978</v>
      </c>
      <c r="G7" s="4">
        <f>E7/214939</f>
        <v>1.1150450437876173E-3</v>
      </c>
      <c r="H7" s="4">
        <f t="shared" si="2"/>
        <v>-2.3019311935738638</v>
      </c>
      <c r="I7">
        <v>3</v>
      </c>
    </row>
    <row r="8" spans="1:9" x14ac:dyDescent="0.25">
      <c r="B8" s="4">
        <v>925.6</v>
      </c>
      <c r="C8" s="4">
        <v>971.2</v>
      </c>
      <c r="D8" s="4">
        <v>861.3</v>
      </c>
      <c r="E8" s="4">
        <f t="shared" si="0"/>
        <v>919.36666666666679</v>
      </c>
      <c r="F8" s="4">
        <f t="shared" si="1"/>
        <v>22.541233822091971</v>
      </c>
      <c r="G8" s="4">
        <f t="shared" ref="G8" si="3">E8/10414</f>
        <v>8.8281800140836073E-2</v>
      </c>
      <c r="H8" s="4">
        <f t="shared" ref="H8" si="4">LOG(G8/G$2,EXP(1))</f>
        <v>-0.97139893666833654</v>
      </c>
      <c r="I8">
        <v>3</v>
      </c>
    </row>
    <row r="9" spans="1:9" x14ac:dyDescent="0.25">
      <c r="E9" s="4">
        <v>172.8</v>
      </c>
      <c r="G9" s="4">
        <f t="shared" ref="G9" si="5">E9/214939</f>
        <v>8.0394902739847128E-4</v>
      </c>
      <c r="H9" s="4">
        <f t="shared" si="2"/>
        <v>-2.6290454062568451</v>
      </c>
      <c r="I9">
        <v>4</v>
      </c>
    </row>
    <row r="10" spans="1:9" x14ac:dyDescent="0.25">
      <c r="E10" s="4">
        <v>889.4</v>
      </c>
      <c r="G10" s="4">
        <f t="shared" ref="G10" si="6">E10/10414</f>
        <v>8.5404263491453816E-2</v>
      </c>
      <c r="H10" s="4">
        <f t="shared" ref="H10" si="7">LOG(G10/G$2,EXP(1))</f>
        <v>-1.0045368857776527</v>
      </c>
      <c r="I10">
        <v>4</v>
      </c>
    </row>
    <row r="15" spans="1:9" x14ac:dyDescent="0.25">
      <c r="A15" t="s">
        <v>0</v>
      </c>
      <c r="B15" s="4">
        <v>15.9</v>
      </c>
      <c r="C15" s="4">
        <v>22.8</v>
      </c>
      <c r="D15" s="4">
        <v>23.8</v>
      </c>
      <c r="E15" s="4">
        <f>AVERAGE(B15:D15)</f>
        <v>20.833333333333332</v>
      </c>
      <c r="F15" s="4">
        <f t="shared" si="1"/>
        <v>1.756100478016257</v>
      </c>
      <c r="G15" s="4">
        <f>E15/10414</f>
        <v>2.0005121311055629E-3</v>
      </c>
    </row>
    <row r="16" spans="1:9" x14ac:dyDescent="0.25">
      <c r="A16" t="s">
        <v>1</v>
      </c>
      <c r="B16" s="4">
        <v>69.3</v>
      </c>
      <c r="C16" s="4">
        <v>75.5</v>
      </c>
      <c r="D16" s="4">
        <v>76.900000000000006</v>
      </c>
      <c r="E16" s="4">
        <f>AVERAGE(B16:D16)</f>
        <v>73.900000000000006</v>
      </c>
      <c r="F16" s="4">
        <f t="shared" si="1"/>
        <v>1.6512621435334462</v>
      </c>
      <c r="G16" s="4">
        <f>E16/10414</f>
        <v>7.0962166314576533E-3</v>
      </c>
    </row>
    <row r="17" spans="1:10" x14ac:dyDescent="0.25">
      <c r="A17" t="s">
        <v>2</v>
      </c>
      <c r="B17" s="4">
        <v>96.5</v>
      </c>
      <c r="C17" s="4">
        <v>103.4</v>
      </c>
      <c r="D17" s="4">
        <v>97.8</v>
      </c>
      <c r="E17" s="4">
        <f>AVERAGE(B17:D17)</f>
        <v>99.233333333333334</v>
      </c>
      <c r="F17" s="4">
        <f t="shared" si="1"/>
        <v>1.4968485412878487</v>
      </c>
      <c r="G17" s="4">
        <f>E17/10414</f>
        <v>9.5288393828820185E-3</v>
      </c>
    </row>
    <row r="18" spans="1:10" x14ac:dyDescent="0.25">
      <c r="B18" s="4">
        <v>0</v>
      </c>
      <c r="C18" s="4">
        <v>2.8</v>
      </c>
      <c r="D18" s="4">
        <v>4.9000000000000004</v>
      </c>
      <c r="E18" s="4">
        <f>AVERAGE(B18:D18)</f>
        <v>2.5666666666666669</v>
      </c>
      <c r="F18" s="4">
        <f t="shared" si="1"/>
        <v>1.0036046144883064</v>
      </c>
      <c r="G18" s="4">
        <f>E18/214939</f>
        <v>1.19413725134418E-5</v>
      </c>
    </row>
    <row r="19" spans="1:10" x14ac:dyDescent="0.25">
      <c r="B19" s="4">
        <v>20.5</v>
      </c>
      <c r="C19" s="4">
        <v>24.4</v>
      </c>
      <c r="D19" s="4">
        <v>20.5</v>
      </c>
      <c r="E19" s="4">
        <f>AVERAGE(B19:D19)</f>
        <v>21.8</v>
      </c>
      <c r="F19" s="4">
        <f t="shared" si="1"/>
        <v>0.91923881554251141</v>
      </c>
      <c r="G19" s="4">
        <f>E19/214939</f>
        <v>1.0142412498429788E-4</v>
      </c>
    </row>
    <row r="25" spans="1:10" x14ac:dyDescent="0.25">
      <c r="J25" s="4"/>
    </row>
    <row r="26" spans="1:10" x14ac:dyDescent="0.25">
      <c r="J26" s="4"/>
    </row>
  </sheetData>
  <pageMargins left="0.7" right="0.7" top="0.75" bottom="0.75" header="0.3" footer="0.3"/>
  <ignoredErrors>
    <ignoredError sqref="E1:E2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AF17-DE24-46C6-A1B1-3DDF20467680}">
  <dimension ref="A1:J20"/>
  <sheetViews>
    <sheetView workbookViewId="0">
      <selection activeCell="I3" sqref="I3"/>
    </sheetView>
  </sheetViews>
  <sheetFormatPr defaultRowHeight="15" x14ac:dyDescent="0.25"/>
  <sheetData>
    <row r="1" spans="1:10" x14ac:dyDescent="0.25">
      <c r="A1" s="1" t="s">
        <v>6</v>
      </c>
    </row>
    <row r="2" spans="1:10" x14ac:dyDescent="0.25">
      <c r="B2">
        <v>1</v>
      </c>
      <c r="C2">
        <v>2</v>
      </c>
      <c r="D2">
        <v>3</v>
      </c>
      <c r="E2">
        <v>4</v>
      </c>
      <c r="F2" t="s">
        <v>3</v>
      </c>
      <c r="G2" t="s">
        <v>9</v>
      </c>
      <c r="H2" t="s">
        <v>4</v>
      </c>
      <c r="I2" t="s">
        <v>10</v>
      </c>
      <c r="J2" t="s">
        <v>11</v>
      </c>
    </row>
    <row r="3" spans="1:10" x14ac:dyDescent="0.25">
      <c r="A3">
        <v>0</v>
      </c>
      <c r="B3">
        <v>2411.6999999999998</v>
      </c>
      <c r="C3">
        <v>2433</v>
      </c>
      <c r="D3">
        <v>2047.7</v>
      </c>
      <c r="F3">
        <f>AVERAGE(B3:D3)</f>
        <v>2297.4666666666667</v>
      </c>
      <c r="G3">
        <f>STDEVA(B3:D3)/SQRT(3)</f>
        <v>125.03461298554267</v>
      </c>
      <c r="H3">
        <f t="shared" ref="H3:H10" si="0">F3/214939</f>
        <v>1.0688924144369644E-2</v>
      </c>
      <c r="I3">
        <f>LOG(H3/$H$3,EXP(1))</f>
        <v>0</v>
      </c>
      <c r="J3">
        <f>G3/F3</f>
        <v>5.4422819185860949E-2</v>
      </c>
    </row>
    <row r="4" spans="1:10" x14ac:dyDescent="0.25">
      <c r="A4">
        <v>1</v>
      </c>
      <c r="B4">
        <v>858.9</v>
      </c>
      <c r="C4">
        <v>599.29999999999995</v>
      </c>
      <c r="D4">
        <v>622.5</v>
      </c>
      <c r="F4">
        <f>AVERAGE(B4:D4)</f>
        <v>693.56666666666661</v>
      </c>
      <c r="G4">
        <f>STDEVA(B4:D4)/SQRT(3)</f>
        <v>82.937513292304246</v>
      </c>
      <c r="H4">
        <f t="shared" si="0"/>
        <v>3.2268069855478374E-3</v>
      </c>
      <c r="I4">
        <f t="shared" ref="I4:I10" si="1">LOG(H4/$H$3,EXP(1))</f>
        <v>-1.1977149797284083</v>
      </c>
      <c r="J4">
        <f t="shared" ref="J4:J10" si="2">G4/F4</f>
        <v>0.11958116973946881</v>
      </c>
    </row>
    <row r="5" spans="1:10" x14ac:dyDescent="0.25">
      <c r="A5">
        <v>2</v>
      </c>
      <c r="B5">
        <v>263.7</v>
      </c>
      <c r="C5">
        <v>460.1</v>
      </c>
      <c r="D5">
        <v>375.1</v>
      </c>
      <c r="F5">
        <f>AVERAGE(B5:D5)</f>
        <v>366.3</v>
      </c>
      <c r="G5">
        <f>STDEVA(B5:D5)/SQRT(3)</f>
        <v>56.866275887676402</v>
      </c>
      <c r="H5">
        <f t="shared" si="0"/>
        <v>1.7042044487040509E-3</v>
      </c>
      <c r="I5">
        <f t="shared" si="1"/>
        <v>-1.8361096758160662</v>
      </c>
      <c r="J5">
        <f t="shared" si="2"/>
        <v>0.15524508841844498</v>
      </c>
    </row>
    <row r="6" spans="1:10" x14ac:dyDescent="0.25">
      <c r="A6">
        <v>3</v>
      </c>
      <c r="B6">
        <v>293.39999999999998</v>
      </c>
      <c r="C6">
        <v>317.60000000000002</v>
      </c>
      <c r="D6">
        <v>275.39999999999998</v>
      </c>
      <c r="E6">
        <v>257.89999999999998</v>
      </c>
      <c r="F6">
        <f>AVERAGE(B6:E6)</f>
        <v>286.07499999999999</v>
      </c>
      <c r="G6">
        <f>STDEVA(B6:D6)/SQRT(4)</f>
        <v>10.587886159821213</v>
      </c>
      <c r="H6">
        <f t="shared" si="0"/>
        <v>1.3309590162790372E-3</v>
      </c>
      <c r="I6">
        <f t="shared" si="1"/>
        <v>-2.0833083313970566</v>
      </c>
      <c r="J6">
        <f t="shared" si="2"/>
        <v>3.7010875329271047E-2</v>
      </c>
    </row>
    <row r="7" spans="1:10" x14ac:dyDescent="0.25">
      <c r="A7">
        <v>4</v>
      </c>
      <c r="B7">
        <v>124.1</v>
      </c>
      <c r="C7">
        <v>106.2</v>
      </c>
      <c r="D7">
        <v>165.6</v>
      </c>
      <c r="F7">
        <f>AVERAGE(B7:D7)</f>
        <v>131.96666666666667</v>
      </c>
      <c r="G7">
        <f>STDEVA(B7:D7)/SQRT(3)</f>
        <v>17.592643664643258</v>
      </c>
      <c r="H7">
        <f t="shared" si="0"/>
        <v>6.1397264650280621E-4</v>
      </c>
      <c r="I7">
        <f t="shared" si="1"/>
        <v>-2.8570129801568598</v>
      </c>
      <c r="J7">
        <f t="shared" si="2"/>
        <v>0.1333112679816362</v>
      </c>
    </row>
    <row r="8" spans="1:10" x14ac:dyDescent="0.25">
      <c r="A8">
        <v>5</v>
      </c>
      <c r="B8">
        <v>101.9</v>
      </c>
      <c r="C8">
        <v>54.3</v>
      </c>
      <c r="D8">
        <v>46.3</v>
      </c>
      <c r="E8">
        <v>71.2</v>
      </c>
      <c r="F8">
        <f>AVERAGE(B8:E8)</f>
        <v>68.424999999999997</v>
      </c>
      <c r="G8">
        <f>STDEVA(B8:D8)/SQRT(4)</f>
        <v>15.029304707803355</v>
      </c>
      <c r="H8">
        <f t="shared" si="0"/>
        <v>3.1834613541516428E-4</v>
      </c>
      <c r="I8">
        <f t="shared" si="1"/>
        <v>-3.5138240906740923</v>
      </c>
      <c r="J8">
        <f t="shared" si="2"/>
        <v>0.21964639689884335</v>
      </c>
    </row>
    <row r="9" spans="1:10" x14ac:dyDescent="0.25">
      <c r="A9">
        <v>6</v>
      </c>
      <c r="B9">
        <v>30</v>
      </c>
      <c r="C9">
        <v>40.1</v>
      </c>
      <c r="D9">
        <v>52.4</v>
      </c>
      <c r="F9">
        <f>AVERAGE(B9:E9)</f>
        <v>40.833333333333336</v>
      </c>
      <c r="G9">
        <f>STDEVA(B9:D9)/SQRT(4)</f>
        <v>5.6089957508749659</v>
      </c>
      <c r="H9">
        <f t="shared" si="0"/>
        <v>1.8997638089566498E-4</v>
      </c>
      <c r="I9">
        <f t="shared" si="1"/>
        <v>-4.0300636042841624</v>
      </c>
      <c r="J9">
        <f t="shared" si="2"/>
        <v>0.13736316124591752</v>
      </c>
    </row>
    <row r="10" spans="1:10" x14ac:dyDescent="0.25">
      <c r="A10">
        <v>7</v>
      </c>
      <c r="B10">
        <v>17.100000000000001</v>
      </c>
      <c r="C10">
        <v>20.5</v>
      </c>
      <c r="D10">
        <v>34.299999999999997</v>
      </c>
      <c r="F10">
        <f>AVERAGE(B10:E10)</f>
        <v>23.966666666666669</v>
      </c>
      <c r="G10">
        <f>STDEVA(B10:D10)/SQRT(4)</f>
        <v>4.5544849690533926</v>
      </c>
      <c r="H10">
        <f t="shared" si="0"/>
        <v>1.1150450437876173E-4</v>
      </c>
      <c r="I10">
        <f t="shared" si="1"/>
        <v>-4.5628983695419434</v>
      </c>
      <c r="J10">
        <f t="shared" si="2"/>
        <v>0.19003414335410537</v>
      </c>
    </row>
    <row r="13" spans="1:10" x14ac:dyDescent="0.25">
      <c r="A13" s="1" t="s">
        <v>8</v>
      </c>
      <c r="F13" t="s">
        <v>3</v>
      </c>
      <c r="G13" t="s">
        <v>9</v>
      </c>
      <c r="H13" t="s">
        <v>4</v>
      </c>
      <c r="I13" t="s">
        <v>7</v>
      </c>
    </row>
    <row r="14" spans="1:10" x14ac:dyDescent="0.25">
      <c r="A14">
        <v>1</v>
      </c>
      <c r="B14">
        <v>0</v>
      </c>
      <c r="C14">
        <v>6.7</v>
      </c>
      <c r="D14">
        <v>10.8</v>
      </c>
      <c r="F14">
        <f>AVERAGE(B14:E14)</f>
        <v>5.833333333333333</v>
      </c>
      <c r="G14">
        <f t="shared" ref="G14:G20" si="3">STDEVA(B14:D14)/SQRT(4)</f>
        <v>2.7259554899765583</v>
      </c>
      <c r="H14">
        <f>F14/214939</f>
        <v>2.7139482985094995E-5</v>
      </c>
      <c r="I14">
        <f>H14*15.6*A14</f>
        <v>4.2337593456748192E-4</v>
      </c>
    </row>
    <row r="15" spans="1:10" x14ac:dyDescent="0.25">
      <c r="A15">
        <v>2</v>
      </c>
      <c r="B15">
        <v>41.5</v>
      </c>
      <c r="C15">
        <v>99.9</v>
      </c>
      <c r="D15">
        <v>68.2</v>
      </c>
      <c r="F15">
        <f t="shared" ref="F15:F20" si="4">AVERAGE(B15:E15)</f>
        <v>69.866666666666674</v>
      </c>
      <c r="G15">
        <f t="shared" si="3"/>
        <v>14.617825875735877</v>
      </c>
      <c r="H15">
        <f t="shared" ref="H15:H20" si="5">F15/214939</f>
        <v>3.2505346478148067E-4</v>
      </c>
      <c r="I15">
        <f t="shared" ref="I15:I20" si="6">H15*15.6*A15</f>
        <v>1.0141668101182196E-2</v>
      </c>
    </row>
    <row r="16" spans="1:10" x14ac:dyDescent="0.25">
      <c r="A16">
        <v>3</v>
      </c>
      <c r="B16">
        <v>350.5</v>
      </c>
      <c r="C16">
        <v>375.2</v>
      </c>
      <c r="D16">
        <v>296</v>
      </c>
      <c r="F16">
        <f t="shared" si="4"/>
        <v>340.56666666666666</v>
      </c>
      <c r="G16">
        <f t="shared" si="3"/>
        <v>20.261807257333519</v>
      </c>
      <c r="H16">
        <f t="shared" si="5"/>
        <v>1.5844805580498033E-3</v>
      </c>
      <c r="I16">
        <f t="shared" si="6"/>
        <v>7.4153690116730786E-2</v>
      </c>
    </row>
    <row r="17" spans="1:9" x14ac:dyDescent="0.25">
      <c r="A17">
        <v>4</v>
      </c>
      <c r="B17">
        <v>466.2</v>
      </c>
      <c r="C17">
        <v>368.1</v>
      </c>
      <c r="D17">
        <v>365.8</v>
      </c>
      <c r="F17">
        <f t="shared" si="4"/>
        <v>400.0333333333333</v>
      </c>
      <c r="G17">
        <f t="shared" si="3"/>
        <v>28.656776394656685</v>
      </c>
      <c r="H17">
        <f t="shared" si="5"/>
        <v>1.8611482017378573E-3</v>
      </c>
      <c r="I17">
        <f t="shared" si="6"/>
        <v>0.11613564778844229</v>
      </c>
    </row>
    <row r="18" spans="1:9" x14ac:dyDescent="0.25">
      <c r="A18">
        <v>5</v>
      </c>
      <c r="B18">
        <v>385</v>
      </c>
      <c r="C18">
        <v>454.2</v>
      </c>
      <c r="D18">
        <v>384.2</v>
      </c>
      <c r="F18">
        <f t="shared" si="4"/>
        <v>407.8</v>
      </c>
      <c r="G18">
        <f t="shared" si="3"/>
        <v>20.092784774639874</v>
      </c>
      <c r="H18">
        <f t="shared" si="5"/>
        <v>1.8972824847980124E-3</v>
      </c>
      <c r="I18">
        <f t="shared" si="6"/>
        <v>0.14798803381424497</v>
      </c>
    </row>
    <row r="19" spans="1:9" x14ac:dyDescent="0.25">
      <c r="A19">
        <v>6</v>
      </c>
      <c r="B19">
        <v>375.3</v>
      </c>
      <c r="C19">
        <v>215.9</v>
      </c>
      <c r="D19">
        <v>159.69999999999999</v>
      </c>
      <c r="F19">
        <f t="shared" si="4"/>
        <v>250.30000000000004</v>
      </c>
      <c r="G19">
        <f t="shared" si="3"/>
        <v>55.920389841273398</v>
      </c>
      <c r="H19">
        <f t="shared" si="5"/>
        <v>1.1645164442004477E-3</v>
      </c>
      <c r="I19">
        <f t="shared" si="6"/>
        <v>0.10899873917716189</v>
      </c>
    </row>
    <row r="20" spans="1:9" x14ac:dyDescent="0.25">
      <c r="A20">
        <v>7</v>
      </c>
      <c r="B20">
        <v>471.3</v>
      </c>
      <c r="C20">
        <v>222.4</v>
      </c>
      <c r="D20">
        <v>172.9</v>
      </c>
      <c r="F20">
        <f t="shared" si="4"/>
        <v>288.86666666666667</v>
      </c>
      <c r="G20">
        <f t="shared" si="3"/>
        <v>79.95936989079722</v>
      </c>
      <c r="H20">
        <f t="shared" si="5"/>
        <v>1.3439471974219042E-3</v>
      </c>
      <c r="I20">
        <f t="shared" si="6"/>
        <v>0.14675903395847192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D3AA-B829-4791-9DD9-74D0684CC1D2}">
  <dimension ref="A1:J16"/>
  <sheetViews>
    <sheetView workbookViewId="0">
      <selection activeCell="I4" sqref="I4"/>
    </sheetView>
  </sheetViews>
  <sheetFormatPr defaultRowHeight="15" x14ac:dyDescent="0.25"/>
  <sheetData>
    <row r="1" spans="1:10" x14ac:dyDescent="0.25">
      <c r="A1" t="s">
        <v>6</v>
      </c>
    </row>
    <row r="2" spans="1:10" x14ac:dyDescent="0.25">
      <c r="B2">
        <v>1</v>
      </c>
      <c r="C2">
        <v>2</v>
      </c>
      <c r="D2">
        <v>3</v>
      </c>
      <c r="F2" t="s">
        <v>3</v>
      </c>
      <c r="G2" t="s">
        <v>9</v>
      </c>
      <c r="H2" t="s">
        <v>4</v>
      </c>
      <c r="I2" t="s">
        <v>5</v>
      </c>
    </row>
    <row r="3" spans="1:10" x14ac:dyDescent="0.25">
      <c r="A3">
        <v>0</v>
      </c>
      <c r="B3">
        <v>2998.1</v>
      </c>
      <c r="C3">
        <v>2942.1</v>
      </c>
      <c r="D3">
        <v>3402.1</v>
      </c>
      <c r="F3">
        <f>AVERAGE(B3:E3)</f>
        <v>3114.1</v>
      </c>
      <c r="G3">
        <f>STDEVA(B3:E3)/SQRT(COUNT(B3:E3))</f>
        <v>144.90456629566003</v>
      </c>
      <c r="H3">
        <f>F3/10414</f>
        <v>0.29903015171884001</v>
      </c>
      <c r="I3">
        <f>LOG(H3/$H$3,EXP(1))</f>
        <v>0</v>
      </c>
      <c r="J3">
        <f>G3/F3</f>
        <v>4.6531764007469265E-2</v>
      </c>
    </row>
    <row r="4" spans="1:10" x14ac:dyDescent="0.25">
      <c r="A4">
        <v>1</v>
      </c>
      <c r="B4">
        <v>2003.9</v>
      </c>
      <c r="C4">
        <v>1524.6</v>
      </c>
      <c r="D4">
        <v>1519.3</v>
      </c>
      <c r="E4">
        <v>1446</v>
      </c>
      <c r="F4">
        <f t="shared" ref="F4:F7" si="0">AVERAGE(B4:E4)</f>
        <v>1623.45</v>
      </c>
      <c r="G4">
        <f t="shared" ref="G4:G7" si="1">STDEVA(B4:E4)/SQRT(COUNT(B4:E4))</f>
        <v>128.07850782495285</v>
      </c>
      <c r="H4">
        <f t="shared" ref="H4:H7" si="2">F4/10414</f>
        <v>0.15589110812367968</v>
      </c>
      <c r="I4">
        <f t="shared" ref="I4:I7" si="3">LOG(H4/$H$3,EXP(1))</f>
        <v>-0.65138667150695928</v>
      </c>
      <c r="J4">
        <f t="shared" ref="J4:J7" si="4">G4/F4</f>
        <v>7.8892794865843024E-2</v>
      </c>
    </row>
    <row r="5" spans="1:10" x14ac:dyDescent="0.25">
      <c r="A5">
        <v>2</v>
      </c>
      <c r="B5">
        <v>1553.7</v>
      </c>
      <c r="C5">
        <v>1275.5</v>
      </c>
      <c r="D5">
        <v>1529.1</v>
      </c>
      <c r="F5">
        <f t="shared" si="0"/>
        <v>1452.7666666666664</v>
      </c>
      <c r="G5">
        <f t="shared" si="1"/>
        <v>88.917364883231784</v>
      </c>
      <c r="H5">
        <f t="shared" si="2"/>
        <v>0.13950131233595797</v>
      </c>
      <c r="I5">
        <f t="shared" si="3"/>
        <v>-0.76247040153212431</v>
      </c>
      <c r="J5">
        <f t="shared" si="4"/>
        <v>6.1205537629281E-2</v>
      </c>
    </row>
    <row r="6" spans="1:10" x14ac:dyDescent="0.25">
      <c r="A6">
        <v>3</v>
      </c>
      <c r="B6">
        <v>1689.4</v>
      </c>
      <c r="C6">
        <v>1535.9</v>
      </c>
      <c r="F6">
        <f t="shared" si="0"/>
        <v>1612.65</v>
      </c>
      <c r="G6">
        <f t="shared" si="1"/>
        <v>76.749999999999986</v>
      </c>
      <c r="H6">
        <f t="shared" si="2"/>
        <v>0.15485404263491453</v>
      </c>
      <c r="I6">
        <f>LOG(H6/$H$3,EXP(1))</f>
        <v>-0.65806139731687774</v>
      </c>
      <c r="J6">
        <f t="shared" si="4"/>
        <v>4.7592472018106832E-2</v>
      </c>
    </row>
    <row r="7" spans="1:10" x14ac:dyDescent="0.25">
      <c r="A7">
        <v>4</v>
      </c>
      <c r="B7">
        <v>1343</v>
      </c>
      <c r="C7">
        <v>1503.1</v>
      </c>
      <c r="F7">
        <f t="shared" si="0"/>
        <v>1423.05</v>
      </c>
      <c r="G7">
        <f t="shared" si="1"/>
        <v>80.049999999999955</v>
      </c>
      <c r="H7">
        <f t="shared" si="2"/>
        <v>0.13664778183214901</v>
      </c>
      <c r="I7">
        <f t="shared" si="3"/>
        <v>-0.78313773040922907</v>
      </c>
      <c r="J7">
        <f t="shared" si="4"/>
        <v>5.6252415586240792E-2</v>
      </c>
    </row>
    <row r="8" spans="1:10" x14ac:dyDescent="0.25">
      <c r="A8">
        <v>5</v>
      </c>
      <c r="B8">
        <v>796.4</v>
      </c>
      <c r="C8">
        <v>1195</v>
      </c>
      <c r="F8">
        <f>AVERAGE(B8:E8)</f>
        <v>995.7</v>
      </c>
      <c r="G8">
        <f>STDEVA(B8:E8)/SQRT(COUNT(B8:E8))</f>
        <v>199.29999999999967</v>
      </c>
      <c r="H8">
        <f>F8/10414</f>
        <v>9.5611676589206843E-2</v>
      </c>
      <c r="I8">
        <f>LOG(H8/$H$3,EXP(1))</f>
        <v>-1.1402494575221858</v>
      </c>
      <c r="J8">
        <f>G8/F8</f>
        <v>0.20016069097117573</v>
      </c>
    </row>
    <row r="11" spans="1:10" x14ac:dyDescent="0.25">
      <c r="A11" t="s">
        <v>8</v>
      </c>
    </row>
    <row r="12" spans="1:10" x14ac:dyDescent="0.25">
      <c r="A12">
        <v>1</v>
      </c>
      <c r="B12">
        <v>154.5</v>
      </c>
      <c r="C12">
        <v>154.6</v>
      </c>
      <c r="F12">
        <f t="shared" ref="F12:F16" si="5">AVERAGE(B12:E12)</f>
        <v>154.55000000000001</v>
      </c>
      <c r="G12">
        <f t="shared" ref="G12:G16" si="6">STDEVA(B12:E12)/SQRT(COUNT(B12:E12))</f>
        <v>4.9999999999997158E-2</v>
      </c>
      <c r="H12">
        <f t="shared" ref="H12:H16" si="7">F12/10414</f>
        <v>1.4840599193393509E-2</v>
      </c>
      <c r="I12">
        <f>H12*15.6*A12</f>
        <v>0.23151334741693874</v>
      </c>
    </row>
    <row r="13" spans="1:10" x14ac:dyDescent="0.25">
      <c r="A13">
        <v>2</v>
      </c>
      <c r="B13">
        <v>163.69999999999999</v>
      </c>
      <c r="C13">
        <v>167.1</v>
      </c>
      <c r="D13">
        <v>173.9</v>
      </c>
      <c r="F13">
        <f t="shared" si="5"/>
        <v>168.23333333333332</v>
      </c>
      <c r="G13">
        <f t="shared" si="6"/>
        <v>2.9985181525398747</v>
      </c>
      <c r="H13">
        <f t="shared" si="7"/>
        <v>1.615453556110364E-2</v>
      </c>
      <c r="I13">
        <f t="shared" ref="I13:I16" si="8">H13*15.6*A13</f>
        <v>0.50402150950643354</v>
      </c>
      <c r="J13">
        <f>I13-0.1*H12</f>
        <v>0.50253744958709423</v>
      </c>
    </row>
    <row r="14" spans="1:10" x14ac:dyDescent="0.25">
      <c r="A14">
        <v>3</v>
      </c>
      <c r="B14">
        <v>137.1</v>
      </c>
      <c r="C14">
        <v>150.9</v>
      </c>
      <c r="F14">
        <f t="shared" si="5"/>
        <v>144</v>
      </c>
      <c r="G14">
        <f t="shared" si="6"/>
        <v>6.9000000000000048</v>
      </c>
      <c r="H14">
        <f t="shared" si="7"/>
        <v>1.3827539850201652E-2</v>
      </c>
      <c r="I14">
        <f t="shared" si="8"/>
        <v>0.64712886498943734</v>
      </c>
    </row>
    <row r="15" spans="1:10" x14ac:dyDescent="0.25">
      <c r="A15">
        <v>4</v>
      </c>
      <c r="B15">
        <v>150.1</v>
      </c>
      <c r="C15">
        <v>129.9</v>
      </c>
      <c r="F15">
        <f t="shared" si="5"/>
        <v>140</v>
      </c>
      <c r="G15">
        <f t="shared" si="6"/>
        <v>10.099999999999994</v>
      </c>
      <c r="H15">
        <f t="shared" si="7"/>
        <v>1.3443441521029383E-2</v>
      </c>
      <c r="I15">
        <f t="shared" si="8"/>
        <v>0.83887075091223351</v>
      </c>
    </row>
    <row r="16" spans="1:10" x14ac:dyDescent="0.25">
      <c r="A16">
        <v>5</v>
      </c>
      <c r="B16">
        <v>110.6</v>
      </c>
      <c r="C16">
        <v>14.5</v>
      </c>
      <c r="F16">
        <f t="shared" si="5"/>
        <v>62.55</v>
      </c>
      <c r="G16">
        <f t="shared" si="6"/>
        <v>48.05</v>
      </c>
      <c r="H16">
        <f t="shared" si="7"/>
        <v>6.0063376224313422E-3</v>
      </c>
      <c r="I16">
        <f t="shared" si="8"/>
        <v>0.46849433454964462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RB</vt:lpstr>
      <vt:lpstr>FITC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Lubowsky</dc:creator>
  <cp:lastModifiedBy>Diego</cp:lastModifiedBy>
  <dcterms:created xsi:type="dcterms:W3CDTF">2018-10-24T18:46:13Z</dcterms:created>
  <dcterms:modified xsi:type="dcterms:W3CDTF">2018-10-30T00:41:17Z</dcterms:modified>
</cp:coreProperties>
</file>
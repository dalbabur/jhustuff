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MATLAB\JHU\Senior Lab\membranes\"/>
    </mc:Choice>
  </mc:AlternateContent>
  <xr:revisionPtr revIDLastSave="0" documentId="13_ncr:1_{B0C8DADC-AD3F-43D6-8477-6DEFA0134D55}" xr6:coauthVersionLast="37" xr6:coauthVersionMax="37" xr10:uidLastSave="{00000000-0000-0000-0000-000000000000}"/>
  <bookViews>
    <workbookView xWindow="0" yWindow="0" windowWidth="28800" windowHeight="12165" xr2:uid="{7625BDD7-B747-4B9A-81C6-7AB78D9015C4}"/>
  </bookViews>
  <sheets>
    <sheet name="Sheet1" sheetId="1" r:id="rId1"/>
    <sheet name="RB" sheetId="2" r:id="rId2"/>
    <sheet name="FITC" sheetId="3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19" i="2" l="1"/>
  <c r="O19" i="2"/>
  <c r="O20" i="2"/>
  <c r="O21" i="2"/>
  <c r="O22" i="2"/>
  <c r="O23" i="2"/>
  <c r="O24" i="2"/>
  <c r="O18" i="2"/>
  <c r="O12" i="2"/>
  <c r="O13" i="2"/>
  <c r="O14" i="2"/>
  <c r="O15" i="2"/>
  <c r="O16" i="2"/>
  <c r="O17" i="2"/>
  <c r="O11" i="2"/>
  <c r="O5" i="2"/>
  <c r="O6" i="2"/>
  <c r="O7" i="2"/>
  <c r="O8" i="2"/>
  <c r="O9" i="2"/>
  <c r="O10" i="2"/>
  <c r="O4" i="2"/>
  <c r="J10" i="2"/>
  <c r="H3" i="2"/>
  <c r="H10" i="2"/>
  <c r="K3" i="3"/>
  <c r="K3" i="2"/>
  <c r="I3" i="2"/>
  <c r="Q25" i="1"/>
  <c r="K18" i="3"/>
  <c r="J19" i="3"/>
  <c r="B30" i="2"/>
  <c r="B29" i="2"/>
  <c r="K22" i="2" l="1"/>
  <c r="J15" i="3"/>
  <c r="J22" i="2"/>
  <c r="J23" i="2"/>
  <c r="F3" i="2"/>
  <c r="H4" i="2"/>
  <c r="H5" i="2"/>
  <c r="H6" i="2"/>
  <c r="H7" i="2"/>
  <c r="H8" i="2"/>
  <c r="H9" i="2"/>
  <c r="I4" i="2"/>
  <c r="I5" i="2"/>
  <c r="I6" i="2"/>
  <c r="I7" i="2"/>
  <c r="I8" i="2"/>
  <c r="I9" i="2"/>
  <c r="I10" i="2"/>
  <c r="H14" i="2"/>
  <c r="H15" i="2"/>
  <c r="H16" i="2"/>
  <c r="H17" i="2"/>
  <c r="H18" i="2"/>
  <c r="H19" i="2"/>
  <c r="H20" i="2"/>
  <c r="I14" i="2"/>
  <c r="I15" i="2"/>
  <c r="I16" i="2"/>
  <c r="I17" i="2"/>
  <c r="I18" i="2"/>
  <c r="I19" i="2"/>
  <c r="I20" i="2"/>
  <c r="H3" i="3"/>
  <c r="H4" i="3"/>
  <c r="H5" i="3"/>
  <c r="H6" i="3"/>
  <c r="H7" i="3"/>
  <c r="I3" i="3"/>
  <c r="I4" i="3"/>
  <c r="I5" i="3"/>
  <c r="I6" i="3"/>
  <c r="I7" i="3"/>
  <c r="H12" i="3"/>
  <c r="H13" i="3"/>
  <c r="H14" i="3"/>
  <c r="H15" i="3"/>
  <c r="I12" i="3"/>
  <c r="I13" i="3"/>
  <c r="I14" i="3"/>
  <c r="I15" i="3"/>
  <c r="G12" i="3"/>
  <c r="G3" i="3"/>
  <c r="L18" i="3" l="1"/>
  <c r="L19" i="3" s="1"/>
  <c r="J20" i="2"/>
  <c r="J19" i="2"/>
  <c r="L22" i="2"/>
  <c r="J12" i="3"/>
  <c r="J32" i="2"/>
  <c r="L10" i="2"/>
  <c r="L23" i="2" l="1"/>
  <c r="J26" i="2" l="1"/>
  <c r="J27" i="2"/>
  <c r="J28" i="2"/>
  <c r="J29" i="2"/>
  <c r="J30" i="2"/>
  <c r="J31" i="2"/>
  <c r="O26" i="1" l="1"/>
  <c r="O25" i="1"/>
  <c r="N25" i="1" l="1"/>
  <c r="N26" i="1"/>
  <c r="G3" i="1" l="1"/>
  <c r="H3" i="1"/>
  <c r="G8" i="1"/>
  <c r="H8" i="1" s="1"/>
  <c r="G9" i="1"/>
  <c r="H9" i="1"/>
  <c r="G10" i="1"/>
  <c r="H10" i="1"/>
  <c r="E8" i="1"/>
  <c r="F8" i="1"/>
  <c r="E2" i="1"/>
  <c r="E3" i="1"/>
  <c r="E4" i="1"/>
  <c r="E5" i="1"/>
  <c r="F5" i="1" s="1"/>
  <c r="E6" i="1"/>
  <c r="E7" i="1"/>
  <c r="F7" i="1" s="1"/>
  <c r="F3" i="1"/>
  <c r="E1" i="1"/>
  <c r="G1" i="1"/>
  <c r="F2" i="1"/>
  <c r="F4" i="1"/>
  <c r="F6" i="1"/>
  <c r="F1" i="1"/>
  <c r="G2" i="1"/>
  <c r="H2" i="1" s="1"/>
  <c r="F12" i="3"/>
  <c r="F13" i="3"/>
  <c r="J13" i="3" s="1"/>
  <c r="G13" i="3"/>
  <c r="F14" i="3"/>
  <c r="J14" i="3" s="1"/>
  <c r="G14" i="3"/>
  <c r="F15" i="3"/>
  <c r="G15" i="3"/>
  <c r="F24" i="3"/>
  <c r="H24" i="3" s="1"/>
  <c r="J24" i="3" s="1"/>
  <c r="G24" i="3"/>
  <c r="F4" i="3"/>
  <c r="G4" i="3"/>
  <c r="K4" i="3" s="1"/>
  <c r="F5" i="3"/>
  <c r="G5" i="3"/>
  <c r="K5" i="3" s="1"/>
  <c r="F6" i="3"/>
  <c r="G6" i="3"/>
  <c r="K6" i="3" s="1"/>
  <c r="F7" i="3"/>
  <c r="G7" i="3"/>
  <c r="K7" i="3" s="1"/>
  <c r="F3" i="3"/>
  <c r="J18" i="2"/>
  <c r="G14" i="2"/>
  <c r="F15" i="2"/>
  <c r="G15" i="2"/>
  <c r="F16" i="2"/>
  <c r="G16" i="2"/>
  <c r="F17" i="2"/>
  <c r="J17" i="2" s="1"/>
  <c r="G17" i="2"/>
  <c r="F18" i="2"/>
  <c r="G18" i="2"/>
  <c r="F19" i="2"/>
  <c r="G19" i="2"/>
  <c r="F20" i="2"/>
  <c r="G20" i="2"/>
  <c r="F10" i="2"/>
  <c r="G10" i="2"/>
  <c r="K10" i="2" s="1"/>
  <c r="F9" i="2"/>
  <c r="G9" i="2"/>
  <c r="K9" i="2" s="1"/>
  <c r="G8" i="2"/>
  <c r="K8" i="2" s="1"/>
  <c r="F8" i="2"/>
  <c r="G6" i="2"/>
  <c r="K6" i="2" s="1"/>
  <c r="F6" i="2"/>
  <c r="G4" i="2"/>
  <c r="G5" i="2"/>
  <c r="G7" i="2"/>
  <c r="G3" i="2"/>
  <c r="K7" i="2" l="1"/>
  <c r="J6" i="3"/>
  <c r="J4" i="3"/>
  <c r="J7" i="3"/>
  <c r="J5" i="3"/>
  <c r="H1" i="1"/>
  <c r="F4" i="2"/>
  <c r="F5" i="2"/>
  <c r="F7" i="2"/>
  <c r="K5" i="2" l="1"/>
  <c r="K4" i="2"/>
  <c r="G7" i="1"/>
  <c r="H7" i="1" s="1"/>
  <c r="E14" i="1"/>
  <c r="G5" i="1"/>
  <c r="H5" i="1" s="1"/>
  <c r="G6" i="1"/>
  <c r="H6" i="1" s="1"/>
  <c r="E16" i="1"/>
  <c r="E13" i="1"/>
  <c r="G4" i="1"/>
  <c r="H4" i="1" s="1"/>
  <c r="E15" i="1"/>
  <c r="E12" i="1"/>
  <c r="G12" i="1" l="1"/>
  <c r="F12" i="1"/>
  <c r="G16" i="1"/>
  <c r="F16" i="1"/>
  <c r="G15" i="1"/>
  <c r="F15" i="1"/>
  <c r="G13" i="1"/>
  <c r="F13" i="1"/>
  <c r="G14" i="1"/>
  <c r="F14" i="1"/>
  <c r="J3" i="3"/>
  <c r="L3" i="2" l="1"/>
  <c r="J3" i="2"/>
  <c r="L9" i="2"/>
  <c r="J9" i="2"/>
  <c r="L4" i="2"/>
  <c r="J7" i="2"/>
  <c r="J5" i="2"/>
  <c r="J4" i="2"/>
  <c r="L6" i="2"/>
  <c r="L8" i="2"/>
  <c r="L7" i="2"/>
  <c r="L5" i="2"/>
  <c r="J8" i="2"/>
  <c r="J6" i="2"/>
  <c r="F14" i="2"/>
  <c r="J14" i="2" s="1"/>
  <c r="J16" i="2" l="1"/>
  <c r="J15" i="2"/>
</calcChain>
</file>

<file path=xl/sharedStrings.xml><?xml version="1.0" encoding="utf-8"?>
<sst xmlns="http://schemas.openxmlformats.org/spreadsheetml/2006/main" count="24" uniqueCount="15">
  <si>
    <t>1P</t>
  </si>
  <si>
    <t>2P</t>
  </si>
  <si>
    <t>3P</t>
  </si>
  <si>
    <t>AVERAGE</t>
  </si>
  <si>
    <t>C</t>
  </si>
  <si>
    <t>Cf/Ci</t>
  </si>
  <si>
    <t>Retentate</t>
  </si>
  <si>
    <t>mass</t>
  </si>
  <si>
    <t>Permeate</t>
  </si>
  <si>
    <t>Err</t>
  </si>
  <si>
    <t>ln Ct/Ci</t>
  </si>
  <si>
    <t>wrong</t>
  </si>
  <si>
    <t>total P</t>
  </si>
  <si>
    <t>DV</t>
  </si>
  <si>
    <t>FITC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</si>
</sst>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164" fontId="0" fillId="0" borderId="0" xfId="0" applyNumberFormat="1" applyFill="1"/>
    <xf numFmtId="165" fontId="0" fillId="0" borderId="0" xfId="0" applyNumberFormat="1"/>
    <xf numFmtId="167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  <color rgb="FFFFCC00"/>
      <color rgb="FF660066"/>
      <color rgb="FFFF6600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9334497492786"/>
          <c:y val="4.0396773231831502E-2"/>
          <c:w val="0.85254290774295738"/>
          <c:h val="0.78951430470849404"/>
        </c:manualLayout>
      </c:layout>
      <c:scatterChart>
        <c:scatterStyle val="lineMarker"/>
        <c:varyColors val="0"/>
        <c:ser>
          <c:idx val="3"/>
          <c:order val="0"/>
          <c:tx>
            <c:v>FITC (clean)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CC00"/>
              </a:solidFill>
              <a:ln w="9525">
                <a:solidFill>
                  <a:srgbClr val="FFCC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0.75000000000000011"/>
            <c:backward val="1"/>
            <c:dispRSqr val="0"/>
            <c:dispEq val="0"/>
          </c:trendline>
          <c:xVal>
            <c:numRef>
              <c:f>FITC!$A$4:$A$7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FITC!$J$4:$J$7</c:f>
              <c:numCache>
                <c:formatCode>General</c:formatCode>
                <c:ptCount val="4"/>
                <c:pt idx="0">
                  <c:v>-0.65138667150695928</c:v>
                </c:pt>
                <c:pt idx="1">
                  <c:v>-0.76247040153212431</c:v>
                </c:pt>
                <c:pt idx="2">
                  <c:v>-0.65806139731687774</c:v>
                </c:pt>
                <c:pt idx="3">
                  <c:v>-0.78313773040922907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18-448C-AA48-35FF2FE32CB4}"/>
            </c:ext>
          </c:extLst>
        </c:ser>
        <c:ser>
          <c:idx val="1"/>
          <c:order val="1"/>
          <c:tx>
            <c:v>FITC (mixed)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66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75000000000000011"/>
            <c:backward val="1"/>
            <c:dispRSqr val="0"/>
            <c:dispEq val="0"/>
          </c:trendline>
          <c:xVal>
            <c:numRef>
              <c:f>(Sheet1!$I$4,Sheet1!$I$6,Sheet1!$I$8,Sheet1!$I$10)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(Sheet1!$H$4,Sheet1!$H$6,Sheet1!$H$8,Sheet1!$H$10)</c:f>
              <c:numCache>
                <c:formatCode>General</c:formatCode>
                <c:ptCount val="4"/>
                <c:pt idx="0">
                  <c:v>-0.95410971856246285</c:v>
                </c:pt>
                <c:pt idx="1">
                  <c:v>-0.95664303659972716</c:v>
                </c:pt>
                <c:pt idx="2">
                  <c:v>-0.97139893666833654</c:v>
                </c:pt>
                <c:pt idx="3">
                  <c:v>-1.0045368857776527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18-448C-AA48-35FF2FE32CB4}"/>
            </c:ext>
          </c:extLst>
        </c:ser>
        <c:ser>
          <c:idx val="2"/>
          <c:order val="2"/>
          <c:tx>
            <c:v>RhoB (clean)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CC0099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CC0099"/>
                </a:solidFill>
                <a:prstDash val="lgDash"/>
              </a:ln>
              <a:effectLst/>
            </c:spPr>
            <c:trendlineType val="linear"/>
            <c:forward val="0.75000000000000011"/>
            <c:backward val="1"/>
            <c:dispRSqr val="0"/>
            <c:dispEq val="0"/>
          </c:trendline>
          <c:xVal>
            <c:numRef>
              <c:f>RB!$A$4:$A$10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RB!$J$4:$J$10</c:f>
              <c:numCache>
                <c:formatCode>General</c:formatCode>
                <c:ptCount val="7"/>
                <c:pt idx="0">
                  <c:v>-1.1977149797284083</c:v>
                </c:pt>
                <c:pt idx="1">
                  <c:v>-1.8361096758160662</c:v>
                </c:pt>
                <c:pt idx="2">
                  <c:v>-2.0833083313970566</c:v>
                </c:pt>
                <c:pt idx="3">
                  <c:v>-2.8570129801568598</c:v>
                </c:pt>
                <c:pt idx="4">
                  <c:v>-3.5138240906740923</c:v>
                </c:pt>
                <c:pt idx="5">
                  <c:v>-4.0300636042841624</c:v>
                </c:pt>
                <c:pt idx="6">
                  <c:v>-4.5628983695419434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18-448C-AA48-35FF2FE32CB4}"/>
            </c:ext>
          </c:extLst>
        </c:ser>
        <c:ser>
          <c:idx val="0"/>
          <c:order val="3"/>
          <c:tx>
            <c:v>RhoB (mixed)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660066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660066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(Sheet1!$I$3,Sheet1!$I$5,Sheet1!$I$7,Sheet1!$I$9)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(Sheet1!$H$3,Sheet1!$H$5,Sheet1!$H$7,Sheet1!$H$9)</c:f>
              <c:numCache>
                <c:formatCode>General</c:formatCode>
                <c:ptCount val="4"/>
                <c:pt idx="0">
                  <c:v>-1.5455937578194174</c:v>
                </c:pt>
                <c:pt idx="1">
                  <c:v>-2.013484462226947</c:v>
                </c:pt>
                <c:pt idx="2">
                  <c:v>-2.3019311935738638</c:v>
                </c:pt>
                <c:pt idx="3">
                  <c:v>-2.6290454062568451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8-448C-AA48-35FF2FE3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77680"/>
        <c:axId val="843878336"/>
      </c:scatterChart>
      <c:valAx>
        <c:axId val="8438776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Dilution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8336"/>
        <c:crossesAt val="-6"/>
        <c:crossBetween val="midCat"/>
      </c:valAx>
      <c:valAx>
        <c:axId val="8438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ln(C</a:t>
                </a:r>
                <a:r>
                  <a:rPr lang="en-US" sz="9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/C</a:t>
                </a:r>
                <a:r>
                  <a:rPr lang="en-US" sz="9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f0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7680"/>
        <c:crossesAt val="0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3940458055235792"/>
          <c:y val="7.4914760495136623E-2"/>
          <c:w val="0.19320105878132598"/>
          <c:h val="0.3360294396183906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RhoB (mixed)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660066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660066"/>
                </a:solidFill>
                <a:prstDash val="sysDot"/>
              </a:ln>
              <a:effectLst/>
            </c:spPr>
            <c:trendlineType val="linear"/>
            <c:forward val="1"/>
            <c:intercept val="0"/>
            <c:dispRSqr val="1"/>
            <c:dispEq val="1"/>
            <c:trendlineLbl>
              <c:layout>
                <c:manualLayout>
                  <c:x val="-5.1123663875844376E-2"/>
                  <c:y val="1.9342449258963558E-3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(Sheet1!$I$1,Sheet1!$I$3,Sheet1!$I$5,Sheet1!$I$7,Sheet1!$I$9)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(Sheet1!$H$1,Sheet1!$H$3,Sheet1!$H$5,Sheet1!$H$7,Sheet1!$H$9)</c:f>
              <c:numCache>
                <c:formatCode>General</c:formatCode>
                <c:ptCount val="5"/>
                <c:pt idx="0">
                  <c:v>0</c:v>
                </c:pt>
                <c:pt idx="1">
                  <c:v>-1.5455937578194174</c:v>
                </c:pt>
                <c:pt idx="2">
                  <c:v>-2.013484462226947</c:v>
                </c:pt>
                <c:pt idx="3">
                  <c:v>-2.3019311935738638</c:v>
                </c:pt>
                <c:pt idx="4">
                  <c:v>-2.6290454062568451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A6-455C-9C42-DE02907EDF1E}"/>
            </c:ext>
          </c:extLst>
        </c:ser>
        <c:ser>
          <c:idx val="2"/>
          <c:order val="1"/>
          <c:tx>
            <c:v>RhoB (clean)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CC0099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CC0099"/>
                </a:solidFill>
                <a:prstDash val="lgDash"/>
              </a:ln>
              <a:effectLst/>
            </c:spPr>
            <c:trendlineType val="linear"/>
            <c:forward val="0.75000000000000011"/>
            <c:intercept val="0"/>
            <c:dispRSqr val="1"/>
            <c:dispEq val="1"/>
            <c:trendlineLbl>
              <c:layout>
                <c:manualLayout>
                  <c:x val="-0.13643784895597114"/>
                  <c:y val="-4.513739385003225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5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-0.6874x</a:t>
                    </a:r>
                    <a:br>
                      <a:rPr lang="en-US" sz="105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105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0.9655</a:t>
                    </a:r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105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r>
                      <a:rPr lang="en-US" sz="1050" b="1">
                        <a:solidFill>
                          <a:sysClr val="windowText" lastClr="000000"/>
                        </a:solidFill>
                        <a:effectLst/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Rc = 0.3126 </a:t>
                    </a: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50" b="0" i="0" u="none" strike="noStrike" kern="1200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RB!$A$3:$A$10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RB!$J$3:$J$10</c:f>
              <c:numCache>
                <c:formatCode>General</c:formatCode>
                <c:ptCount val="8"/>
                <c:pt idx="0">
                  <c:v>0</c:v>
                </c:pt>
                <c:pt idx="1">
                  <c:v>-1.1977149797284083</c:v>
                </c:pt>
                <c:pt idx="2">
                  <c:v>-1.8361096758160662</c:v>
                </c:pt>
                <c:pt idx="3">
                  <c:v>-2.0833083313970566</c:v>
                </c:pt>
                <c:pt idx="4">
                  <c:v>-2.8570129801568598</c:v>
                </c:pt>
                <c:pt idx="5">
                  <c:v>-3.5138240906740923</c:v>
                </c:pt>
                <c:pt idx="6">
                  <c:v>-4.0300636042841624</c:v>
                </c:pt>
                <c:pt idx="7">
                  <c:v>-4.5628983695419434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A6-455C-9C42-DE02907EDF1E}"/>
            </c:ext>
          </c:extLst>
        </c:ser>
        <c:ser>
          <c:idx val="1"/>
          <c:order val="2"/>
          <c:tx>
            <c:v>FITC (mixed)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6600"/>
              </a:solidFill>
              <a:ln w="9525">
                <a:noFill/>
              </a:ln>
              <a:effectLst/>
            </c:spPr>
          </c:marker>
          <c:xVal>
            <c:numRef>
              <c:f>(Sheet1!$I$4,Sheet1!$I$6,Sheet1!$I$8,Sheet1!$I$10)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(Sheet1!$H$4,Sheet1!$H$6,Sheet1!$H$8,Sheet1!$H$10)</c:f>
              <c:numCache>
                <c:formatCode>General</c:formatCode>
                <c:ptCount val="4"/>
                <c:pt idx="0">
                  <c:v>-0.95410971856246285</c:v>
                </c:pt>
                <c:pt idx="1">
                  <c:v>-0.95664303659972716</c:v>
                </c:pt>
                <c:pt idx="2">
                  <c:v>-0.97139893666833654</c:v>
                </c:pt>
                <c:pt idx="3">
                  <c:v>-1.0045368857776527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A6-455C-9C42-DE02907EDF1E}"/>
            </c:ext>
          </c:extLst>
        </c:ser>
        <c:ser>
          <c:idx val="3"/>
          <c:order val="3"/>
          <c:tx>
            <c:v>FITC (clean)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CC00"/>
              </a:solidFill>
              <a:ln w="9525">
                <a:solidFill>
                  <a:srgbClr val="FFCC00"/>
                </a:solidFill>
              </a:ln>
              <a:effectLst/>
            </c:spPr>
          </c:marker>
          <c:xVal>
            <c:numRef>
              <c:f>FITC!$A$4:$A$7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FITC!$J$4:$J$7</c:f>
              <c:numCache>
                <c:formatCode>General</c:formatCode>
                <c:ptCount val="4"/>
                <c:pt idx="0">
                  <c:v>-0.65138667150695928</c:v>
                </c:pt>
                <c:pt idx="1">
                  <c:v>-0.76247040153212431</c:v>
                </c:pt>
                <c:pt idx="2">
                  <c:v>-0.65806139731687774</c:v>
                </c:pt>
                <c:pt idx="3">
                  <c:v>-0.78313773040922907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A6-455C-9C42-DE02907ED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77680"/>
        <c:axId val="843878336"/>
      </c:scatterChart>
      <c:valAx>
        <c:axId val="8438776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Dilution Volumes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8336"/>
        <c:crossesAt val="-6"/>
        <c:crossBetween val="midCat"/>
      </c:valAx>
      <c:valAx>
        <c:axId val="8438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ln(Cr/Cr0)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3877680"/>
        <c:crossesAt val="0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72666969970771"/>
          <c:y val="8.0695807670875891E-2"/>
          <c:w val="0.16822676062018377"/>
          <c:h val="0.3149942007352386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RB!$J$13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RB!$J$14:$J$20</c:f>
              <c:numCache>
                <c:formatCode>General</c:formatCode>
                <c:ptCount val="7"/>
                <c:pt idx="0">
                  <c:v>4.3253440303316667E-4</c:v>
                </c:pt>
                <c:pt idx="1">
                  <c:v>1.0398635726916716E-2</c:v>
                </c:pt>
                <c:pt idx="2">
                  <c:v>7.5167850478568943E-2</c:v>
                </c:pt>
                <c:pt idx="3">
                  <c:v>0.11514702033894621</c:v>
                </c:pt>
                <c:pt idx="4">
                  <c:v>0.14071961678674311</c:v>
                </c:pt>
                <c:pt idx="5">
                  <c:v>0.10440212645150922</c:v>
                </c:pt>
                <c:pt idx="6">
                  <c:v>0.13868326499392872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2-449A-A6A7-F79B6A4F4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3359560"/>
        <c:axId val="1013363824"/>
      </c:barChart>
      <c:catAx>
        <c:axId val="101335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363824"/>
        <c:crosses val="autoZero"/>
        <c:auto val="1"/>
        <c:lblAlgn val="ctr"/>
        <c:lblOffset val="100"/>
        <c:noMultiLvlLbl val="0"/>
      </c:catAx>
      <c:valAx>
        <c:axId val="10133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35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RB!$L$13:$L$20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2D-4EA7-BA52-AA6AADB55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274736"/>
        <c:axId val="926266208"/>
      </c:scatterChart>
      <c:valAx>
        <c:axId val="9262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266208"/>
        <c:crosses val="autoZero"/>
        <c:crossBetween val="midCat"/>
      </c:valAx>
      <c:valAx>
        <c:axId val="92626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27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195997375328083"/>
                  <c:y val="-7.35458588509769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RB!$N$4:$N$24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</c:numCache>
            </c:numRef>
          </c:xVal>
          <c:yVal>
            <c:numRef>
              <c:f>RB!$O$4:$O$24</c:f>
              <c:numCache>
                <c:formatCode>General</c:formatCode>
                <c:ptCount val="21"/>
                <c:pt idx="0">
                  <c:v>-0.98390984482865596</c:v>
                </c:pt>
                <c:pt idx="1">
                  <c:v>-2.164750252241594</c:v>
                </c:pt>
                <c:pt idx="2">
                  <c:v>-2.0580254798919535</c:v>
                </c:pt>
                <c:pt idx="3">
                  <c:v>-2.9184746533902737</c:v>
                </c:pt>
                <c:pt idx="4">
                  <c:v>-3.1155704053721558</c:v>
                </c:pt>
                <c:pt idx="5">
                  <c:v>-4.3383649639386794</c:v>
                </c:pt>
                <c:pt idx="6">
                  <c:v>-4.900483882092221</c:v>
                </c:pt>
                <c:pt idx="7">
                  <c:v>-1.3438000381366955</c:v>
                </c:pt>
                <c:pt idx="8">
                  <c:v>-1.608118488439412</c:v>
                </c:pt>
                <c:pt idx="9">
                  <c:v>-1.9787696162278541</c:v>
                </c:pt>
                <c:pt idx="10">
                  <c:v>-3.0742382367929961</c:v>
                </c:pt>
                <c:pt idx="11">
                  <c:v>-3.7450381186609452</c:v>
                </c:pt>
                <c:pt idx="12">
                  <c:v>-4.048186011288311</c:v>
                </c:pt>
                <c:pt idx="13">
                  <c:v>-4.7191374594564728</c:v>
                </c:pt>
                <c:pt idx="14">
                  <c:v>-1.3058187172619722</c:v>
                </c:pt>
                <c:pt idx="15">
                  <c:v>-1.8123696885129932</c:v>
                </c:pt>
                <c:pt idx="16">
                  <c:v>-2.1213377593062805</c:v>
                </c:pt>
                <c:pt idx="17">
                  <c:v>-2.6299871036496758</c:v>
                </c:pt>
                <c:pt idx="18">
                  <c:v>-3.9044203845086467</c:v>
                </c:pt>
                <c:pt idx="19">
                  <c:v>-3.7806557542738384</c:v>
                </c:pt>
                <c:pt idx="20">
                  <c:v>-4.2044169914289409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2-4F84-8458-A2B150B496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RB!$A$4:$A$10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RB!$J$4:$J$10</c:f>
              <c:numCache>
                <c:formatCode>General</c:formatCode>
                <c:ptCount val="7"/>
                <c:pt idx="0">
                  <c:v>-1.1977149797284083</c:v>
                </c:pt>
                <c:pt idx="1">
                  <c:v>-1.8361096758160662</c:v>
                </c:pt>
                <c:pt idx="2">
                  <c:v>-2.0833083313970566</c:v>
                </c:pt>
                <c:pt idx="3">
                  <c:v>-2.8570129801568598</c:v>
                </c:pt>
                <c:pt idx="4">
                  <c:v>-3.5138240906740923</c:v>
                </c:pt>
                <c:pt idx="5">
                  <c:v>-4.0300636042841624</c:v>
                </c:pt>
                <c:pt idx="6">
                  <c:v>-4.5628983695419434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32-4F84-8458-A2B150B49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431520"/>
        <c:axId val="451431192"/>
      </c:scatterChart>
      <c:valAx>
        <c:axId val="45143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431192"/>
        <c:crosses val="autoZero"/>
        <c:crossBetween val="midCat"/>
      </c:valAx>
      <c:valAx>
        <c:axId val="45143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43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28578</xdr:colOff>
      <xdr:row>2</xdr:row>
      <xdr:rowOff>136455</xdr:rowOff>
    </xdr:from>
    <xdr:to>
      <xdr:col>18</xdr:col>
      <xdr:colOff>588065</xdr:colOff>
      <xdr:row>20</xdr:row>
      <xdr:rowOff>165652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0E9FB-65F3-4220-B4DB-D8A30A00A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124239</xdr:rowOff>
    </xdr:from>
    <xdr:to>
      <xdr:col>9</xdr:col>
      <xdr:colOff>137075</xdr:colOff>
      <xdr:row>33</xdr:row>
      <xdr:rowOff>153436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C1B24B-1EC4-46FA-A644-504923C24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207065</xdr:colOff>
      <xdr:row>2</xdr:row>
      <xdr:rowOff>24848</xdr:rowOff>
    </xdr:from>
    <xdr:to>
      <xdr:col>22</xdr:col>
      <xdr:colOff>99391</xdr:colOff>
      <xdr:row>16</xdr:row>
      <xdr:rowOff>82826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77E1C8-F252-4375-9F2A-594661139D69}"/>
            </a:ext>
          </a:extLst>
        </xdr:cNvPr>
        <xdr:cNvSpPr txBox="1"/>
      </xdr:nvSpPr>
      <xdr:spPr>
        <a:xfrm>
          <a:off x="12042913" y="405848"/>
          <a:ext cx="1731065" cy="2724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-0.5684x - 0.5953</a:t>
          </a:r>
          <a:b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R² = 0.9928</a:t>
          </a:r>
          <a:endParaRPr lang="en-US">
            <a:effectLst/>
          </a:endParaRPr>
        </a:p>
        <a:p>
          <a:pPr rtl="0" eaLnBrk="1" fontAlgn="auto" latinLnBrk="0" hangingPunct="1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0.4316</a:t>
          </a:r>
        </a:p>
        <a:p>
          <a:pPr rtl="0" eaLnBrk="1" fontAlgn="auto" latinLnBrk="0" hangingPunct="1"/>
          <a:endParaRPr lang="en-US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-0.3539x - 1.2378</a:t>
          </a:r>
          <a:b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R² = 0.9884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0.6461</a:t>
          </a:r>
          <a:r>
            <a:rPr lang="en-US"/>
            <a:t> </a:t>
          </a:r>
          <a:endParaRPr lang="en-US">
            <a:effectLst/>
          </a:endParaRPr>
        </a:p>
        <a:p>
          <a:pPr rtl="0" eaLnBrk="1" fontAlgn="auto" latinLnBrk="0" hangingPunct="1"/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-0.0291x - 0.6411</a:t>
          </a:r>
          <a:b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R² = 0.2983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0.9709</a:t>
          </a:r>
          <a:endParaRPr lang="en-US">
            <a:effectLst/>
          </a:endParaRPr>
        </a:p>
        <a:p>
          <a:pPr rtl="0" eaLnBrk="1" fontAlgn="auto" latinLnBrk="0" hangingPunct="1"/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-0.0166x - 0.9302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R² = 0.8538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0.9834</a:t>
          </a:r>
          <a:endParaRPr lang="en-US">
            <a:effectLst/>
          </a:endParaRPr>
        </a:p>
        <a:p>
          <a:pPr rtl="0" eaLnBrk="1" fontAlgn="auto" latinLnBrk="0" hangingPunct="1"/>
          <a:endParaRPr lang="en-US">
            <a:effectLst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0.62054</cdr:x>
      <cdr:y>0.59763</cdr:y>
    </cdr:from>
    <cdr:to>
      <cdr:x>0.76119</cdr:x>
      <cdr:y>0.67427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BF55D88-D76E-4AE1-A5E0-9D528294EB6D}"/>
            </a:ext>
          </a:extLst>
        </cdr:cNvPr>
        <cdr:cNvSpPr txBox="1"/>
      </cdr:nvSpPr>
      <cdr:spPr>
        <a:xfrm xmlns:a="http://schemas.openxmlformats.org/drawingml/2006/main">
          <a:off x="3508119" y="2066722"/>
          <a:ext cx="795136" cy="26503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12700">
          <a:solidFill>
            <a:srgbClr val="CC0099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R = 0.4316</a:t>
          </a:r>
        </a:p>
      </cdr:txBody>
    </cdr:sp>
  </cdr:relSizeAnchor>
  <cdr:relSizeAnchor xmlns:cdr="http://schemas.openxmlformats.org/drawingml/2006/chartDrawing">
    <cdr:from>
      <cdr:x>0.51591</cdr:x>
      <cdr:y>0.20869</cdr:y>
    </cdr:from>
    <cdr:to>
      <cdr:x>0.65656</cdr:x>
      <cdr:y>0.28533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86818AC-A35C-458A-ABDC-64BBE5204351}"/>
            </a:ext>
          </a:extLst>
        </cdr:cNvPr>
        <cdr:cNvSpPr txBox="1"/>
      </cdr:nvSpPr>
      <cdr:spPr>
        <a:xfrm xmlns:a="http://schemas.openxmlformats.org/drawingml/2006/main">
          <a:off x="2916583" y="721691"/>
          <a:ext cx="795131" cy="26504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12700">
          <a:solidFill>
            <a:srgbClr val="FFC000"/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R = 0.9709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161925</xdr:colOff>
      <xdr:row>23</xdr:row>
      <xdr:rowOff>166687</xdr:rowOff>
    </xdr:from>
    <xdr:to>
      <xdr:col>23</xdr:col>
      <xdr:colOff>171450</xdr:colOff>
      <xdr:row>38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C8CFFC-337D-4206-B868-98693D426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28575</xdr:colOff>
      <xdr:row>10</xdr:row>
      <xdr:rowOff>80962</xdr:rowOff>
    </xdr:from>
    <xdr:to>
      <xdr:col>30</xdr:col>
      <xdr:colOff>333375</xdr:colOff>
      <xdr:row>24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195900-DECB-49DE-AE85-C61032B32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219075</xdr:colOff>
      <xdr:row>1</xdr:row>
      <xdr:rowOff>90487</xdr:rowOff>
    </xdr:from>
    <xdr:to>
      <xdr:col>22</xdr:col>
      <xdr:colOff>523875</xdr:colOff>
      <xdr:row>15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FF09AB-7055-4D7B-B64F-185019254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5435-1FF8-4670-B378-854B71D97855}">
  <dimension ref="A1:Q26"/>
  <sheetViews>
    <sheetView tabSelected="1" zoomScale="115" zoomScaleNormal="115" workbookViewId="0">
      <selection activeCell="Q25" sqref="Q25"/>
    </sheetView>
  </sheetViews>
  <sheetFormatPr defaultRowHeight="15" x14ac:dyDescent="0.25"/>
  <cols>
    <col min="2" max="8" width="9.140625" style="4"/>
    <col min="11" max="11" width="12" bestFit="1" customWidth="1"/>
  </cols>
  <sheetData>
    <row r="1" spans="1:9" s="4" customFormat="1" x14ac:dyDescent="0.25">
      <c r="A1" s="2">
        <v>0</v>
      </c>
      <c r="B1" s="4">
        <v>2708.4</v>
      </c>
      <c r="C1" s="4">
        <v>2369.1</v>
      </c>
      <c r="D1" s="4">
        <v>2107.8000000000002</v>
      </c>
      <c r="E1" s="4">
        <f>AVERAGE(B1:D1)</f>
        <v>2395.1</v>
      </c>
      <c r="F1" s="4">
        <f t="shared" ref="F1:F8" si="0">STDEVA(B1:E1)/SQRT(COUNT(B1:E1))</f>
        <v>122.94110378551186</v>
      </c>
      <c r="G1" s="4">
        <f>E1/214939</f>
        <v>1.1143161548160176E-2</v>
      </c>
      <c r="H1" s="4">
        <f>LOG(G1/G$1,EXP(1))</f>
        <v>0</v>
      </c>
      <c r="I1" s="4">
        <v>0</v>
      </c>
    </row>
    <row r="2" spans="1:9" s="4" customFormat="1" x14ac:dyDescent="0.25">
      <c r="A2" s="3">
        <v>0</v>
      </c>
      <c r="B2" s="4">
        <v>2665.6</v>
      </c>
      <c r="C2" s="4">
        <v>2357.9</v>
      </c>
      <c r="D2" s="4">
        <v>2262.4</v>
      </c>
      <c r="E2" s="4">
        <f t="shared" ref="E2:E8" si="1">AVERAGE(B2:D2)</f>
        <v>2428.6333333333332</v>
      </c>
      <c r="F2" s="4">
        <f t="shared" si="0"/>
        <v>86.018373360320808</v>
      </c>
      <c r="G2" s="4">
        <f>E2/10414</f>
        <v>0.23320850137635232</v>
      </c>
      <c r="H2" s="4">
        <f>LOG(G2/G$2,EXP(1))</f>
        <v>0</v>
      </c>
      <c r="I2" s="4">
        <v>0</v>
      </c>
    </row>
    <row r="3" spans="1:9" x14ac:dyDescent="0.25">
      <c r="B3" s="4">
        <v>443.5</v>
      </c>
      <c r="C3" s="4">
        <v>616.29999999999995</v>
      </c>
      <c r="D3" s="4">
        <v>472</v>
      </c>
      <c r="E3" s="4">
        <f t="shared" si="1"/>
        <v>510.59999999999997</v>
      </c>
      <c r="F3" s="4">
        <f t="shared" si="0"/>
        <v>37.820695392866575</v>
      </c>
      <c r="G3" s="4">
        <f>E3/214939</f>
        <v>2.3755577163753435E-3</v>
      </c>
      <c r="H3" s="4">
        <f>LOG(G3/G$1,EXP(1))</f>
        <v>-1.5455937578194174</v>
      </c>
      <c r="I3">
        <v>1</v>
      </c>
    </row>
    <row r="4" spans="1:9" x14ac:dyDescent="0.25">
      <c r="B4" s="4">
        <v>854.5</v>
      </c>
      <c r="C4" s="4">
        <v>989.4</v>
      </c>
      <c r="D4" s="4">
        <v>962.3</v>
      </c>
      <c r="E4" s="4">
        <f t="shared" si="1"/>
        <v>935.4</v>
      </c>
      <c r="F4" s="4">
        <f t="shared" si="0"/>
        <v>29.132484732110758</v>
      </c>
      <c r="G4" s="4">
        <f>E4/10414</f>
        <v>8.9821394276934891E-2</v>
      </c>
      <c r="H4" s="4">
        <f>LOG(G4/G$2,EXP(1))</f>
        <v>-0.95410971856246285</v>
      </c>
      <c r="I4">
        <v>1</v>
      </c>
    </row>
    <row r="5" spans="1:9" x14ac:dyDescent="0.25">
      <c r="B5" s="4">
        <v>297.10000000000002</v>
      </c>
      <c r="C5" s="4">
        <v>317.2</v>
      </c>
      <c r="D5" s="4">
        <v>345.1</v>
      </c>
      <c r="E5" s="4">
        <f t="shared" si="1"/>
        <v>319.8</v>
      </c>
      <c r="F5" s="4">
        <f t="shared" si="0"/>
        <v>9.8409857229852751</v>
      </c>
      <c r="G5" s="4">
        <f>E5/214939</f>
        <v>1.4878639986228652E-3</v>
      </c>
      <c r="H5" s="4">
        <f>LOG(G5/G$1,EXP(1))</f>
        <v>-2.013484462226947</v>
      </c>
      <c r="I5">
        <v>2</v>
      </c>
    </row>
    <row r="6" spans="1:9" x14ac:dyDescent="0.25">
      <c r="B6" s="4">
        <v>846.2</v>
      </c>
      <c r="C6" s="4">
        <v>955.8</v>
      </c>
      <c r="D6" s="4">
        <v>997.1</v>
      </c>
      <c r="E6" s="4">
        <f t="shared" si="1"/>
        <v>933.0333333333333</v>
      </c>
      <c r="F6" s="4">
        <f t="shared" si="0"/>
        <v>31.836675217253582</v>
      </c>
      <c r="G6" s="4">
        <f>E6/10414</f>
        <v>8.9594136098841301E-2</v>
      </c>
      <c r="H6" s="4">
        <f>LOG(G6/G$2,EXP(1))</f>
        <v>-0.95664303659972716</v>
      </c>
      <c r="I6">
        <v>2</v>
      </c>
    </row>
    <row r="7" spans="1:9" x14ac:dyDescent="0.25">
      <c r="B7" s="4">
        <v>239.5</v>
      </c>
      <c r="C7" s="4">
        <v>248.8</v>
      </c>
      <c r="D7" s="4">
        <v>230.7</v>
      </c>
      <c r="E7" s="4">
        <f t="shared" si="1"/>
        <v>239.66666666666666</v>
      </c>
      <c r="F7" s="4">
        <f t="shared" si="0"/>
        <v>3.6951168978651978</v>
      </c>
      <c r="G7" s="4">
        <f>E7/214939</f>
        <v>1.1150450437876173E-3</v>
      </c>
      <c r="H7" s="4">
        <f>LOG(G7/G$1,EXP(1))</f>
        <v>-2.3019311935738638</v>
      </c>
      <c r="I7">
        <v>3</v>
      </c>
    </row>
    <row r="8" spans="1:9" x14ac:dyDescent="0.25">
      <c r="B8" s="4">
        <v>925.6</v>
      </c>
      <c r="C8" s="4">
        <v>971.2</v>
      </c>
      <c r="D8" s="4">
        <v>861.3</v>
      </c>
      <c r="E8" s="4">
        <f t="shared" si="1"/>
        <v>919.36666666666679</v>
      </c>
      <c r="F8" s="4">
        <f t="shared" si="0"/>
        <v>22.541233822091971</v>
      </c>
      <c r="G8" s="4">
        <f>E8/10414</f>
        <v>8.8281800140836073E-2</v>
      </c>
      <c r="H8" s="4">
        <f>LOG(G8/G$2,EXP(1))</f>
        <v>-0.97139893666833654</v>
      </c>
      <c r="I8">
        <v>3</v>
      </c>
    </row>
    <row r="9" spans="1:9" x14ac:dyDescent="0.25">
      <c r="E9" s="4">
        <v>172.8</v>
      </c>
      <c r="G9" s="4">
        <f>E9/214939</f>
        <v>8.0394902739847128E-4</v>
      </c>
      <c r="H9" s="4">
        <f>LOG(G9/G$1,EXP(1))</f>
        <v>-2.6290454062568451</v>
      </c>
      <c r="I9">
        <v>4</v>
      </c>
    </row>
    <row r="10" spans="1:9" x14ac:dyDescent="0.25">
      <c r="E10" s="4">
        <v>889.4</v>
      </c>
      <c r="G10" s="4">
        <f>E10/10414</f>
        <v>8.5404263491453816E-2</v>
      </c>
      <c r="H10" s="4">
        <f>LOG(G10/G$2,EXP(1))</f>
        <v>-1.0045368857776527</v>
      </c>
      <c r="I10">
        <v>4</v>
      </c>
    </row>
    <row r="12" spans="1:9" x14ac:dyDescent="0.25">
      <c r="A12" t="s">
        <v>0</v>
      </c>
      <c r="B12" s="4">
        <v>15.9</v>
      </c>
      <c r="C12" s="4">
        <v>22.8</v>
      </c>
      <c r="D12" s="4">
        <v>23.8</v>
      </c>
      <c r="E12" s="4">
        <f>AVERAGE(B12:D12)</f>
        <v>20.833333333333332</v>
      </c>
      <c r="F12" s="4">
        <f>STDEVA(B12:E12)/SQRT(COUNT(B12:E12))</f>
        <v>1.756100478016257</v>
      </c>
      <c r="G12" s="4">
        <f>E12/10414</f>
        <v>2.0005121311055629E-3</v>
      </c>
    </row>
    <row r="13" spans="1:9" x14ac:dyDescent="0.25">
      <c r="A13" t="s">
        <v>1</v>
      </c>
      <c r="B13" s="4">
        <v>69.3</v>
      </c>
      <c r="C13" s="4">
        <v>75.5</v>
      </c>
      <c r="D13" s="4">
        <v>76.900000000000006</v>
      </c>
      <c r="E13" s="4">
        <f>AVERAGE(B13:D13)</f>
        <v>73.900000000000006</v>
      </c>
      <c r="F13" s="4">
        <f>STDEVA(B13:E13)/SQRT(COUNT(B13:E13))</f>
        <v>1.6512621435334462</v>
      </c>
      <c r="G13" s="4">
        <f>E13/10414</f>
        <v>7.0962166314576533E-3</v>
      </c>
    </row>
    <row r="14" spans="1:9" x14ac:dyDescent="0.25">
      <c r="A14" t="s">
        <v>2</v>
      </c>
      <c r="B14" s="4">
        <v>96.5</v>
      </c>
      <c r="C14" s="4">
        <v>103.4</v>
      </c>
      <c r="D14" s="4">
        <v>97.8</v>
      </c>
      <c r="E14" s="4">
        <f>AVERAGE(B14:D14)</f>
        <v>99.233333333333334</v>
      </c>
      <c r="F14" s="4">
        <f>STDEVA(B14:E14)/SQRT(COUNT(B14:E14))</f>
        <v>1.4968485412878487</v>
      </c>
      <c r="G14" s="4">
        <f>E14/10414</f>
        <v>9.5288393828820185E-3</v>
      </c>
    </row>
    <row r="15" spans="1:9" x14ac:dyDescent="0.25">
      <c r="B15" s="4">
        <v>0</v>
      </c>
      <c r="C15" s="4">
        <v>2.8</v>
      </c>
      <c r="D15" s="4">
        <v>4.9000000000000004</v>
      </c>
      <c r="E15" s="4">
        <f>AVERAGE(B15:D15)</f>
        <v>2.5666666666666669</v>
      </c>
      <c r="F15" s="4">
        <f>STDEVA(B15:E15)/SQRT(COUNT(B15:E15))</f>
        <v>1.0036046144883064</v>
      </c>
      <c r="G15" s="4">
        <f>E15/214939</f>
        <v>1.19413725134418E-5</v>
      </c>
    </row>
    <row r="16" spans="1:9" x14ac:dyDescent="0.25">
      <c r="B16" s="4">
        <v>20.5</v>
      </c>
      <c r="C16" s="4">
        <v>24.4</v>
      </c>
      <c r="D16" s="4">
        <v>20.5</v>
      </c>
      <c r="E16" s="4">
        <f>AVERAGE(B16:D16)</f>
        <v>21.8</v>
      </c>
      <c r="F16" s="4">
        <f>STDEVA(B16:E16)/SQRT(COUNT(B16:E16))</f>
        <v>0.91923881554251141</v>
      </c>
      <c r="G16" s="4">
        <f>E16/214939</f>
        <v>1.0142412498429788E-4</v>
      </c>
    </row>
    <row r="25" spans="10:17" x14ac:dyDescent="0.25">
      <c r="J25" s="4"/>
      <c r="N25">
        <f>1-0.0291</f>
        <v>0.97089999999999999</v>
      </c>
      <c r="O25">
        <f>1-0.0166</f>
        <v>0.98340000000000005</v>
      </c>
      <c r="Q25">
        <f>0.299*EXP((N25-1)*4)</f>
        <v>0.26614561222656552</v>
      </c>
    </row>
    <row r="26" spans="10:17" x14ac:dyDescent="0.25">
      <c r="J26" s="4"/>
      <c r="N26">
        <f>1-0.5684</f>
        <v>0.43159999999999998</v>
      </c>
      <c r="O26">
        <f>1-0.3539</f>
        <v>0.64610000000000001</v>
      </c>
    </row>
  </sheetData>
  <pageMargins left="0.7" right="0.7" top="0.75" bottom="0.75" header="0.3" footer="0.3"/>
  <ignoredErrors>
    <ignoredError sqref="E1:E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AF17-DE24-46C6-A1B1-3DDF20467680}">
  <dimension ref="A1:S32"/>
  <sheetViews>
    <sheetView workbookViewId="0">
      <selection activeCell="S20" sqref="S20"/>
    </sheetView>
  </sheetViews>
  <sheetFormatPr defaultRowHeight="15" x14ac:dyDescent="0.25"/>
  <cols>
    <col min="13" max="13" width="9.85546875" customWidth="1"/>
    <col min="14" max="14" width="4" customWidth="1"/>
  </cols>
  <sheetData>
    <row r="1" spans="1:15" x14ac:dyDescent="0.25">
      <c r="A1" s="1" t="s">
        <v>6</v>
      </c>
    </row>
    <row r="2" spans="1:15" x14ac:dyDescent="0.25">
      <c r="B2">
        <v>1</v>
      </c>
      <c r="C2">
        <v>2</v>
      </c>
      <c r="D2">
        <v>3</v>
      </c>
      <c r="E2">
        <v>4</v>
      </c>
      <c r="F2" t="s">
        <v>3</v>
      </c>
      <c r="G2" t="s">
        <v>9</v>
      </c>
      <c r="H2" t="s">
        <v>4</v>
      </c>
      <c r="J2" t="s">
        <v>10</v>
      </c>
      <c r="K2" t="s">
        <v>11</v>
      </c>
    </row>
    <row r="3" spans="1:15" x14ac:dyDescent="0.25">
      <c r="A3">
        <v>0</v>
      </c>
      <c r="B3">
        <v>2411.6999999999998</v>
      </c>
      <c r="C3">
        <v>2433</v>
      </c>
      <c r="D3">
        <v>2047.7</v>
      </c>
      <c r="F3">
        <f>AVERAGE(B3:D3)</f>
        <v>2297.4666666666667</v>
      </c>
      <c r="G3">
        <f>STDEVA(B3:D3)/SQRT(3)</f>
        <v>125.03461298554267</v>
      </c>
      <c r="H3" s="7">
        <f>F3/214939</f>
        <v>1.0688924144369644E-2</v>
      </c>
      <c r="I3" s="5">
        <f>G3/214939</f>
        <v>5.8172138600041251E-4</v>
      </c>
      <c r="J3">
        <f>LOG(H3/$H$3,EXP(1))</f>
        <v>0</v>
      </c>
      <c r="K3">
        <f>G3/F3</f>
        <v>5.4422819185860949E-2</v>
      </c>
      <c r="L3">
        <f t="shared" ref="L3:L9" si="0">H3/$H$3</f>
        <v>1</v>
      </c>
    </row>
    <row r="4" spans="1:15" x14ac:dyDescent="0.25">
      <c r="A4">
        <v>1</v>
      </c>
      <c r="B4">
        <v>858.9</v>
      </c>
      <c r="C4">
        <v>599.29999999999995</v>
      </c>
      <c r="D4">
        <v>622.5</v>
      </c>
      <c r="F4">
        <f>AVERAGE(B4:D4)</f>
        <v>693.56666666666661</v>
      </c>
      <c r="G4">
        <f>STDEVA(B4:D4)/SQRT(3)</f>
        <v>82.937513292304246</v>
      </c>
      <c r="H4">
        <f t="shared" ref="H4:H8" si="1">F4/214939</f>
        <v>3.2268069855478374E-3</v>
      </c>
      <c r="I4" s="4">
        <f t="shared" ref="I4:I20" si="2">G4/214939</f>
        <v>3.858653538552996E-4</v>
      </c>
      <c r="J4">
        <f>LOG(H4/$H$3,EXP(1))</f>
        <v>-1.1977149797284083</v>
      </c>
      <c r="K4">
        <f t="shared" ref="K4:K10" si="3">G4/F4</f>
        <v>0.11958116973946881</v>
      </c>
      <c r="L4">
        <f t="shared" si="0"/>
        <v>0.3018832337066914</v>
      </c>
      <c r="N4" s="3">
        <v>1</v>
      </c>
      <c r="O4" s="3">
        <f>LOG(B4/214939/(F$3/214939),EXP(1))</f>
        <v>-0.98390984482865596</v>
      </c>
    </row>
    <row r="5" spans="1:15" x14ac:dyDescent="0.25">
      <c r="A5">
        <v>2</v>
      </c>
      <c r="B5">
        <v>263.7</v>
      </c>
      <c r="C5">
        <v>460.1</v>
      </c>
      <c r="D5">
        <v>375.1</v>
      </c>
      <c r="F5">
        <f>AVERAGE(B5:D5)</f>
        <v>366.3</v>
      </c>
      <c r="G5">
        <f>STDEVA(B5:D5)/SQRT(3)</f>
        <v>56.866275887676402</v>
      </c>
      <c r="H5">
        <f t="shared" si="1"/>
        <v>1.7042044487040509E-3</v>
      </c>
      <c r="I5" s="4">
        <f t="shared" si="2"/>
        <v>2.6456937032216771E-4</v>
      </c>
      <c r="J5">
        <f t="shared" ref="J5:J8" si="4">LOG(H5/$H$3,EXP(1))</f>
        <v>-1.8361096758160662</v>
      </c>
      <c r="K5">
        <f t="shared" si="3"/>
        <v>0.15524508841844498</v>
      </c>
      <c r="L5">
        <f t="shared" si="0"/>
        <v>0.15943648076141836</v>
      </c>
      <c r="N5" s="3">
        <v>2</v>
      </c>
      <c r="O5" s="3">
        <f t="shared" ref="O5:O10" si="5">LOG(B5/214939/(F$3/214939),EXP(1))</f>
        <v>-2.164750252241594</v>
      </c>
    </row>
    <row r="6" spans="1:15" x14ac:dyDescent="0.25">
      <c r="A6">
        <v>3</v>
      </c>
      <c r="B6">
        <v>293.39999999999998</v>
      </c>
      <c r="C6">
        <v>317.60000000000002</v>
      </c>
      <c r="D6">
        <v>275.39999999999998</v>
      </c>
      <c r="E6">
        <v>257.89999999999998</v>
      </c>
      <c r="F6">
        <f>AVERAGE(B6:E6)</f>
        <v>286.07499999999999</v>
      </c>
      <c r="G6">
        <f>STDEVA(B6:D6)/SQRT(4)</f>
        <v>10.587886159821213</v>
      </c>
      <c r="H6">
        <f t="shared" si="1"/>
        <v>1.3309590162790372E-3</v>
      </c>
      <c r="I6" s="4">
        <f t="shared" si="2"/>
        <v>4.9259958219872675E-5</v>
      </c>
      <c r="J6">
        <f t="shared" si="4"/>
        <v>-2.0833083313970566</v>
      </c>
      <c r="K6">
        <f t="shared" si="3"/>
        <v>3.7010875329271047E-2</v>
      </c>
      <c r="L6">
        <f t="shared" si="0"/>
        <v>0.1245175845859207</v>
      </c>
      <c r="N6" s="3">
        <v>3</v>
      </c>
      <c r="O6" s="3">
        <f t="shared" si="5"/>
        <v>-2.0580254798919535</v>
      </c>
    </row>
    <row r="7" spans="1:15" x14ac:dyDescent="0.25">
      <c r="A7">
        <v>4</v>
      </c>
      <c r="B7">
        <v>124.1</v>
      </c>
      <c r="C7">
        <v>106.2</v>
      </c>
      <c r="D7">
        <v>165.6</v>
      </c>
      <c r="F7">
        <f>AVERAGE(B7:D7)</f>
        <v>131.96666666666667</v>
      </c>
      <c r="G7">
        <f>STDEVA(B7:D7)/SQRT(3)</f>
        <v>17.592643664643258</v>
      </c>
      <c r="H7">
        <f t="shared" si="1"/>
        <v>6.1397264650280621E-4</v>
      </c>
      <c r="I7" s="4">
        <f t="shared" si="2"/>
        <v>8.184947201133E-5</v>
      </c>
      <c r="J7">
        <f t="shared" si="4"/>
        <v>-2.8570129801568598</v>
      </c>
      <c r="K7">
        <f t="shared" si="3"/>
        <v>0.1333112679816362</v>
      </c>
      <c r="L7">
        <f t="shared" si="0"/>
        <v>5.7440078927514356E-2</v>
      </c>
      <c r="N7" s="3">
        <v>4</v>
      </c>
      <c r="O7" s="3">
        <f t="shared" si="5"/>
        <v>-2.9184746533902737</v>
      </c>
    </row>
    <row r="8" spans="1:15" x14ac:dyDescent="0.25">
      <c r="A8">
        <v>5</v>
      </c>
      <c r="B8">
        <v>101.9</v>
      </c>
      <c r="C8">
        <v>54.3</v>
      </c>
      <c r="D8">
        <v>46.3</v>
      </c>
      <c r="E8">
        <v>71.2</v>
      </c>
      <c r="F8">
        <f>AVERAGE(B8:E8)</f>
        <v>68.424999999999997</v>
      </c>
      <c r="G8">
        <f>STDEVA(B8:D8)/SQRT(4)</f>
        <v>15.029304707803355</v>
      </c>
      <c r="H8">
        <f t="shared" si="1"/>
        <v>3.1834613541516428E-4</v>
      </c>
      <c r="I8" s="4">
        <f t="shared" si="2"/>
        <v>6.9923581610612103E-5</v>
      </c>
      <c r="J8">
        <f t="shared" si="4"/>
        <v>-3.5138240906740923</v>
      </c>
      <c r="K8">
        <f t="shared" si="3"/>
        <v>0.21964639689884335</v>
      </c>
      <c r="L8">
        <f t="shared" si="0"/>
        <v>2.9782804248157387E-2</v>
      </c>
      <c r="N8" s="3">
        <v>5</v>
      </c>
      <c r="O8" s="3">
        <f t="shared" si="5"/>
        <v>-3.1155704053721558</v>
      </c>
    </row>
    <row r="9" spans="1:15" x14ac:dyDescent="0.25">
      <c r="A9">
        <v>6</v>
      </c>
      <c r="B9">
        <v>30</v>
      </c>
      <c r="C9">
        <v>40.1</v>
      </c>
      <c r="D9">
        <v>52.4</v>
      </c>
      <c r="F9">
        <f>AVERAGE(B9:E9)</f>
        <v>40.833333333333336</v>
      </c>
      <c r="G9">
        <f>STDEVA(B9:D9)/SQRT(4)</f>
        <v>5.6089957508749659</v>
      </c>
      <c r="H9">
        <f>F9/214939</f>
        <v>1.8997638089566498E-4</v>
      </c>
      <c r="I9" s="4">
        <f t="shared" si="2"/>
        <v>2.6095756241887075E-5</v>
      </c>
      <c r="J9">
        <f>LOG(H9/$H$3,EXP(1))</f>
        <v>-4.0300636042841624</v>
      </c>
      <c r="K9">
        <f t="shared" si="3"/>
        <v>0.13736316124591752</v>
      </c>
      <c r="L9">
        <f t="shared" si="0"/>
        <v>1.7773199466078578E-2</v>
      </c>
      <c r="N9" s="3">
        <v>6</v>
      </c>
      <c r="O9" s="3">
        <f t="shared" si="5"/>
        <v>-4.3383649639386794</v>
      </c>
    </row>
    <row r="10" spans="1:15" x14ac:dyDescent="0.25">
      <c r="A10">
        <v>7</v>
      </c>
      <c r="B10">
        <v>17.100000000000001</v>
      </c>
      <c r="C10">
        <v>20.5</v>
      </c>
      <c r="D10">
        <v>34.299999999999997</v>
      </c>
      <c r="F10">
        <f>AVERAGE(B10:E10)</f>
        <v>23.966666666666669</v>
      </c>
      <c r="G10">
        <f>STDEVA(B10:D10)/SQRT(4)</f>
        <v>4.5544849690533926</v>
      </c>
      <c r="H10">
        <f>F10/214939</f>
        <v>1.1150450437876173E-4</v>
      </c>
      <c r="I10" s="4">
        <f t="shared" si="2"/>
        <v>2.1189662969742079E-5</v>
      </c>
      <c r="J10">
        <f>LOG(H10/$H$3,EXP(1))</f>
        <v>-4.5628983695419434</v>
      </c>
      <c r="K10">
        <f t="shared" si="3"/>
        <v>0.19003414335410537</v>
      </c>
      <c r="L10">
        <f>H10/$H$3</f>
        <v>1.0431779931518774E-2</v>
      </c>
      <c r="N10" s="3">
        <v>7</v>
      </c>
      <c r="O10" s="3">
        <f t="shared" si="5"/>
        <v>-4.900483882092221</v>
      </c>
    </row>
    <row r="11" spans="1:15" x14ac:dyDescent="0.25">
      <c r="I11" s="4"/>
      <c r="N11" s="3">
        <v>1</v>
      </c>
      <c r="O11" s="3">
        <f>LOG(C4/214939/(F$3/214939),EXP(1))</f>
        <v>-1.3438000381366955</v>
      </c>
    </row>
    <row r="12" spans="1:15" x14ac:dyDescent="0.25">
      <c r="H12" t="s">
        <v>4</v>
      </c>
      <c r="I12" s="4"/>
      <c r="J12" t="s">
        <v>7</v>
      </c>
      <c r="N12" s="3">
        <v>2</v>
      </c>
      <c r="O12" s="3">
        <f t="shared" ref="O12:O17" si="6">LOG(C5/214939/(F$3/214939),EXP(1))</f>
        <v>-1.608118488439412</v>
      </c>
    </row>
    <row r="13" spans="1:15" x14ac:dyDescent="0.25">
      <c r="A13" s="1" t="s">
        <v>8</v>
      </c>
      <c r="F13" t="s">
        <v>3</v>
      </c>
      <c r="G13" t="s">
        <v>9</v>
      </c>
      <c r="H13" t="s">
        <v>4</v>
      </c>
      <c r="I13" s="4"/>
      <c r="J13">
        <v>0</v>
      </c>
      <c r="N13" s="3">
        <v>3</v>
      </c>
      <c r="O13" s="3">
        <f t="shared" si="6"/>
        <v>-1.9787696162278541</v>
      </c>
    </row>
    <row r="14" spans="1:15" x14ac:dyDescent="0.25">
      <c r="A14">
        <v>1</v>
      </c>
      <c r="B14">
        <v>0</v>
      </c>
      <c r="C14">
        <v>6.7</v>
      </c>
      <c r="D14">
        <v>10.8</v>
      </c>
      <c r="F14">
        <f>AVERAGE(B14:E14)</f>
        <v>5.833333333333333</v>
      </c>
      <c r="G14">
        <f t="shared" ref="G14:G20" si="7">STDEVA(B14:D14)/SQRT(4)</f>
        <v>2.7259554899765583</v>
      </c>
      <c r="H14">
        <f>F14/214939</f>
        <v>2.7139482985094995E-5</v>
      </c>
      <c r="I14" s="4">
        <f t="shared" si="2"/>
        <v>1.2682461023716302E-5</v>
      </c>
      <c r="J14">
        <f t="shared" ref="J14:J20" si="8">H14*J26</f>
        <v>4.3253440303316667E-4</v>
      </c>
      <c r="N14" s="3">
        <v>4</v>
      </c>
      <c r="O14" s="3">
        <f t="shared" si="6"/>
        <v>-3.0742382367929961</v>
      </c>
    </row>
    <row r="15" spans="1:15" x14ac:dyDescent="0.25">
      <c r="A15">
        <v>2</v>
      </c>
      <c r="B15">
        <v>41.5</v>
      </c>
      <c r="C15">
        <v>99.9</v>
      </c>
      <c r="D15">
        <v>68.2</v>
      </c>
      <c r="F15">
        <f t="shared" ref="F15:F20" si="9">AVERAGE(B15:E15)</f>
        <v>69.866666666666674</v>
      </c>
      <c r="G15">
        <f t="shared" si="7"/>
        <v>14.617825875735877</v>
      </c>
      <c r="H15">
        <f t="shared" ref="H15:H20" si="10">F15/214939</f>
        <v>3.2505346478148067E-4</v>
      </c>
      <c r="I15" s="4">
        <f t="shared" si="2"/>
        <v>6.8009183422905464E-5</v>
      </c>
      <c r="J15">
        <f t="shared" si="8"/>
        <v>1.0398635726916716E-2</v>
      </c>
      <c r="N15" s="3">
        <v>5</v>
      </c>
      <c r="O15" s="3">
        <f t="shared" si="6"/>
        <v>-3.7450381186609452</v>
      </c>
    </row>
    <row r="16" spans="1:15" x14ac:dyDescent="0.25">
      <c r="A16">
        <v>3</v>
      </c>
      <c r="B16">
        <v>350.5</v>
      </c>
      <c r="C16">
        <v>375.2</v>
      </c>
      <c r="D16">
        <v>296</v>
      </c>
      <c r="F16">
        <f t="shared" si="9"/>
        <v>340.56666666666666</v>
      </c>
      <c r="G16">
        <f t="shared" si="7"/>
        <v>20.261807257333519</v>
      </c>
      <c r="H16">
        <f t="shared" si="10"/>
        <v>1.5844805580498033E-3</v>
      </c>
      <c r="I16" s="4">
        <f t="shared" si="2"/>
        <v>9.4267709709887549E-5</v>
      </c>
      <c r="J16">
        <f t="shared" si="8"/>
        <v>7.5167850478568943E-2</v>
      </c>
      <c r="N16" s="3">
        <v>6</v>
      </c>
      <c r="O16" s="3">
        <f t="shared" si="6"/>
        <v>-4.048186011288311</v>
      </c>
    </row>
    <row r="17" spans="1:19" x14ac:dyDescent="0.25">
      <c r="A17">
        <v>4</v>
      </c>
      <c r="B17">
        <v>466.2</v>
      </c>
      <c r="C17">
        <v>368.1</v>
      </c>
      <c r="D17">
        <v>365.8</v>
      </c>
      <c r="F17">
        <f t="shared" si="9"/>
        <v>400.0333333333333</v>
      </c>
      <c r="G17">
        <f t="shared" si="7"/>
        <v>28.656776394656685</v>
      </c>
      <c r="H17">
        <f t="shared" si="10"/>
        <v>1.8611482017378573E-3</v>
      </c>
      <c r="I17" s="4">
        <f t="shared" si="2"/>
        <v>1.3332515920636405E-4</v>
      </c>
      <c r="J17">
        <f t="shared" si="8"/>
        <v>0.11514702033894621</v>
      </c>
      <c r="N17" s="3">
        <v>7</v>
      </c>
      <c r="O17" s="3">
        <f t="shared" si="6"/>
        <v>-4.7191374594564728</v>
      </c>
    </row>
    <row r="18" spans="1:19" x14ac:dyDescent="0.25">
      <c r="A18">
        <v>5</v>
      </c>
      <c r="B18">
        <v>385</v>
      </c>
      <c r="C18">
        <v>454.2</v>
      </c>
      <c r="D18">
        <v>384.2</v>
      </c>
      <c r="F18">
        <f t="shared" si="9"/>
        <v>407.8</v>
      </c>
      <c r="G18">
        <f t="shared" si="7"/>
        <v>20.092784774639874</v>
      </c>
      <c r="H18">
        <f t="shared" si="10"/>
        <v>1.8972824847980124E-3</v>
      </c>
      <c r="I18" s="4">
        <f t="shared" si="2"/>
        <v>9.3481335516773945E-5</v>
      </c>
      <c r="J18">
        <f t="shared" si="8"/>
        <v>0.14071961678674311</v>
      </c>
      <c r="N18" s="3">
        <v>1</v>
      </c>
      <c r="O18" s="3">
        <f>LOG(D4/214939/(F$3/214939),EXP(1))</f>
        <v>-1.3058187172619722</v>
      </c>
    </row>
    <row r="19" spans="1:19" x14ac:dyDescent="0.25">
      <c r="A19">
        <v>6</v>
      </c>
      <c r="B19">
        <v>375.3</v>
      </c>
      <c r="C19">
        <v>215.9</v>
      </c>
      <c r="D19">
        <v>159.69999999999999</v>
      </c>
      <c r="F19">
        <f t="shared" si="9"/>
        <v>250.30000000000004</v>
      </c>
      <c r="G19">
        <f t="shared" si="7"/>
        <v>55.920389841273398</v>
      </c>
      <c r="H19">
        <f t="shared" si="10"/>
        <v>1.1645164442004477E-3</v>
      </c>
      <c r="I19" s="4">
        <f t="shared" si="2"/>
        <v>2.601686517629346E-4</v>
      </c>
      <c r="J19">
        <f t="shared" si="8"/>
        <v>0.10440212645150922</v>
      </c>
      <c r="N19" s="3">
        <v>2</v>
      </c>
      <c r="O19" s="3">
        <f t="shared" ref="O19:O24" si="11">LOG(D5/214939/(F$3/214939),EXP(1))</f>
        <v>-1.8123696885129932</v>
      </c>
      <c r="S19">
        <f>1-0.5755</f>
        <v>0.42449999999999999</v>
      </c>
    </row>
    <row r="20" spans="1:19" x14ac:dyDescent="0.25">
      <c r="A20">
        <v>7</v>
      </c>
      <c r="B20">
        <v>471.3</v>
      </c>
      <c r="C20">
        <v>222.4</v>
      </c>
      <c r="D20">
        <v>172.9</v>
      </c>
      <c r="F20">
        <f t="shared" si="9"/>
        <v>288.86666666666667</v>
      </c>
      <c r="G20">
        <f t="shared" si="7"/>
        <v>79.95936989079722</v>
      </c>
      <c r="H20">
        <f t="shared" si="10"/>
        <v>1.3439471974219042E-3</v>
      </c>
      <c r="I20" s="4">
        <f t="shared" si="2"/>
        <v>3.7200959291146425E-4</v>
      </c>
      <c r="J20">
        <f t="shared" si="8"/>
        <v>0.13868326499392872</v>
      </c>
      <c r="N20" s="3">
        <v>3</v>
      </c>
      <c r="O20" s="3">
        <f t="shared" si="11"/>
        <v>-2.1213377593062805</v>
      </c>
    </row>
    <row r="21" spans="1:19" x14ac:dyDescent="0.25">
      <c r="N21" s="3">
        <v>4</v>
      </c>
      <c r="O21" s="3">
        <f t="shared" si="11"/>
        <v>-2.6299871036496758</v>
      </c>
    </row>
    <row r="22" spans="1:19" x14ac:dyDescent="0.25">
      <c r="J22">
        <f>H20*J32</f>
        <v>0.13868326499392872</v>
      </c>
      <c r="K22">
        <f>H10*1.1*28.29</f>
        <v>3.469908671762687E-3</v>
      </c>
      <c r="L22">
        <f>J22+K22</f>
        <v>0.14215317366569141</v>
      </c>
      <c r="N22" s="3">
        <v>5</v>
      </c>
      <c r="O22" s="3">
        <f t="shared" si="11"/>
        <v>-3.9044203845086467</v>
      </c>
    </row>
    <row r="23" spans="1:19" x14ac:dyDescent="0.25">
      <c r="J23">
        <f>15.6*H3</f>
        <v>0.16674721665216644</v>
      </c>
      <c r="L23" s="3">
        <f>(J23-L22)/J23*100</f>
        <v>14.749297457706914</v>
      </c>
      <c r="N23" s="3">
        <v>6</v>
      </c>
      <c r="O23" s="3">
        <f t="shared" si="11"/>
        <v>-3.7806557542738384</v>
      </c>
    </row>
    <row r="24" spans="1:19" x14ac:dyDescent="0.25">
      <c r="N24" s="3">
        <v>7</v>
      </c>
      <c r="O24" s="3">
        <f t="shared" si="11"/>
        <v>-4.2044169914289409</v>
      </c>
    </row>
    <row r="26" spans="1:19" x14ac:dyDescent="0.25">
      <c r="H26">
        <v>15.937459209179282</v>
      </c>
      <c r="J26">
        <f>IF(H26="","",SUM($H$26:H26))</f>
        <v>15.937459209179282</v>
      </c>
    </row>
    <row r="27" spans="1:19" x14ac:dyDescent="0.25">
      <c r="H27">
        <v>16.053080359156855</v>
      </c>
      <c r="J27">
        <f>IF(H27="","",SUM($H$26:H27))</f>
        <v>31.990539568336139</v>
      </c>
    </row>
    <row r="28" spans="1:19" x14ac:dyDescent="0.25">
      <c r="A28">
        <v>0.25</v>
      </c>
      <c r="H28">
        <v>15.44951900271152</v>
      </c>
      <c r="J28">
        <f>IF(H28="","",SUM($H$26:H28))</f>
        <v>47.440058571047658</v>
      </c>
    </row>
    <row r="29" spans="1:19" x14ac:dyDescent="0.25">
      <c r="A29" t="s">
        <v>13</v>
      </c>
      <c r="B29">
        <f>(0+LOG(A28/H3/1000,EXP(1)))/(0.4316-1)</f>
        <v>6.607147149506849</v>
      </c>
      <c r="H29">
        <v>14.428749206552776</v>
      </c>
      <c r="J29">
        <f>IF(H29="","",SUM($H$26:H29))</f>
        <v>61.868807777600438</v>
      </c>
    </row>
    <row r="30" spans="1:19" x14ac:dyDescent="0.25">
      <c r="A30" t="s">
        <v>14</v>
      </c>
      <c r="B30">
        <f>FITC!J19</f>
        <v>4.6648680000000002</v>
      </c>
      <c r="H30">
        <v>12.300230261942911</v>
      </c>
      <c r="J30">
        <f>IF(H30="","",SUM($H$26:H30))</f>
        <v>74.169038039543352</v>
      </c>
    </row>
    <row r="31" spans="1:19" x14ac:dyDescent="0.25">
      <c r="H31">
        <v>15.483733264335745</v>
      </c>
      <c r="J31">
        <f>IF(H31="","",SUM($H$26:H31))</f>
        <v>89.652771303879092</v>
      </c>
    </row>
    <row r="32" spans="1:19" x14ac:dyDescent="0.25">
      <c r="H32">
        <v>13.538235946974972</v>
      </c>
      <c r="J32">
        <f>IF(H32="","",SUM($H$26:H32))</f>
        <v>103.19100725085406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D3AA-B829-4791-9DD9-74D0684CC1D2}">
  <dimension ref="A1:L24"/>
  <sheetViews>
    <sheetView workbookViewId="0">
      <selection activeCell="L8" sqref="L8"/>
    </sheetView>
  </sheetViews>
  <sheetFormatPr defaultRowHeight="15" x14ac:dyDescent="0.25"/>
  <sheetData>
    <row r="1" spans="1:11" x14ac:dyDescent="0.25">
      <c r="A1" t="s">
        <v>6</v>
      </c>
    </row>
    <row r="2" spans="1:11" x14ac:dyDescent="0.25">
      <c r="B2">
        <v>1</v>
      </c>
      <c r="C2">
        <v>2</v>
      </c>
      <c r="D2">
        <v>3</v>
      </c>
      <c r="F2" t="s">
        <v>3</v>
      </c>
      <c r="G2" t="s">
        <v>9</v>
      </c>
      <c r="H2" t="s">
        <v>4</v>
      </c>
      <c r="J2" t="s">
        <v>5</v>
      </c>
    </row>
    <row r="3" spans="1:11" x14ac:dyDescent="0.25">
      <c r="A3">
        <v>0</v>
      </c>
      <c r="B3">
        <v>2998.1</v>
      </c>
      <c r="C3">
        <v>2942.1</v>
      </c>
      <c r="D3">
        <v>3402.1</v>
      </c>
      <c r="F3">
        <f t="shared" ref="F3:F7" si="0">AVERAGE(B3:E3)</f>
        <v>3114.1</v>
      </c>
      <c r="G3">
        <f>STDEVA(B3:E3)/SQRT(COUNT(B3:E3))</f>
        <v>144.90456629566003</v>
      </c>
      <c r="H3" s="6">
        <f>F3/10414</f>
        <v>0.29903015171884001</v>
      </c>
      <c r="I3" s="6">
        <f>G3/10414</f>
        <v>1.3914400450898793E-2</v>
      </c>
      <c r="J3">
        <f t="shared" ref="J3:J7" si="1">LOG(H3/$H$3,EXP(1))</f>
        <v>0</v>
      </c>
      <c r="K3">
        <f>G3/F3</f>
        <v>4.6531764007469265E-2</v>
      </c>
    </row>
    <row r="4" spans="1:11" x14ac:dyDescent="0.25">
      <c r="A4">
        <v>1</v>
      </c>
      <c r="B4">
        <v>2003.9</v>
      </c>
      <c r="C4">
        <v>1524.6</v>
      </c>
      <c r="D4">
        <v>1519.3</v>
      </c>
      <c r="E4">
        <v>1446</v>
      </c>
      <c r="F4">
        <f t="shared" si="0"/>
        <v>1623.45</v>
      </c>
      <c r="G4">
        <f t="shared" ref="G4:G7" si="2">STDEVA(B4:E4)/SQRT(COUNT(B4:E4))</f>
        <v>128.07850782495285</v>
      </c>
      <c r="H4">
        <f t="shared" ref="H4:H6" si="3">F4/10414</f>
        <v>0.15589110812367968</v>
      </c>
      <c r="I4">
        <f t="shared" ref="I4:I15" si="4">G4/10414</f>
        <v>1.2298685214610415E-2</v>
      </c>
      <c r="J4">
        <f t="shared" si="1"/>
        <v>-0.65138667150695928</v>
      </c>
      <c r="K4">
        <f t="shared" ref="K3:K6" si="5">G4/F4</f>
        <v>7.8892794865843024E-2</v>
      </c>
    </row>
    <row r="5" spans="1:11" x14ac:dyDescent="0.25">
      <c r="A5">
        <v>2</v>
      </c>
      <c r="B5">
        <v>1553.7</v>
      </c>
      <c r="C5">
        <v>1275.5</v>
      </c>
      <c r="D5">
        <v>1529.1</v>
      </c>
      <c r="F5">
        <f t="shared" si="0"/>
        <v>1452.7666666666664</v>
      </c>
      <c r="G5">
        <f t="shared" si="2"/>
        <v>88.917364883231784</v>
      </c>
      <c r="H5">
        <f t="shared" si="3"/>
        <v>0.13950131233595797</v>
      </c>
      <c r="I5">
        <f t="shared" si="4"/>
        <v>8.538252821512559E-3</v>
      </c>
      <c r="J5">
        <f t="shared" si="1"/>
        <v>-0.76247040153212431</v>
      </c>
      <c r="K5">
        <f t="shared" si="5"/>
        <v>6.1205537629281E-2</v>
      </c>
    </row>
    <row r="6" spans="1:11" x14ac:dyDescent="0.25">
      <c r="A6">
        <v>3</v>
      </c>
      <c r="B6">
        <v>1689.4</v>
      </c>
      <c r="C6">
        <v>1535.9</v>
      </c>
      <c r="F6">
        <f t="shared" si="0"/>
        <v>1612.65</v>
      </c>
      <c r="G6">
        <f t="shared" si="2"/>
        <v>76.749999999999986</v>
      </c>
      <c r="H6">
        <f t="shared" si="3"/>
        <v>0.15485404263491453</v>
      </c>
      <c r="I6">
        <f t="shared" si="4"/>
        <v>7.3698866909928931E-3</v>
      </c>
      <c r="J6">
        <f t="shared" si="1"/>
        <v>-0.65806139731687774</v>
      </c>
      <c r="K6">
        <f t="shared" si="5"/>
        <v>4.7592472018106832E-2</v>
      </c>
    </row>
    <row r="7" spans="1:11" x14ac:dyDescent="0.25">
      <c r="A7">
        <v>4</v>
      </c>
      <c r="B7">
        <v>1343</v>
      </c>
      <c r="C7">
        <v>1503.1</v>
      </c>
      <c r="F7">
        <f t="shared" si="0"/>
        <v>1423.05</v>
      </c>
      <c r="G7">
        <f t="shared" si="2"/>
        <v>80.049999999999955</v>
      </c>
      <c r="H7">
        <f>F7/10414</f>
        <v>0.13664778183214901</v>
      </c>
      <c r="I7">
        <f t="shared" si="4"/>
        <v>7.6867678125600112E-3</v>
      </c>
      <c r="J7">
        <f t="shared" si="1"/>
        <v>-0.78313773040922907</v>
      </c>
      <c r="K7">
        <f>G7/F7</f>
        <v>5.6252415586240792E-2</v>
      </c>
    </row>
    <row r="11" spans="1:11" x14ac:dyDescent="0.25">
      <c r="A11" t="s">
        <v>8</v>
      </c>
    </row>
    <row r="12" spans="1:11" x14ac:dyDescent="0.25">
      <c r="A12">
        <v>1</v>
      </c>
      <c r="B12">
        <v>154.5</v>
      </c>
      <c r="C12">
        <v>154.6</v>
      </c>
      <c r="F12">
        <f>AVERAGE(B12:E12)</f>
        <v>154.55000000000001</v>
      </c>
      <c r="G12">
        <f>STDEVA(B12:E12)/SQRT(COUNT(B12:E12))</f>
        <v>4.9999999999997158E-2</v>
      </c>
      <c r="H12">
        <f>F12/10414</f>
        <v>1.4840599193393509E-2</v>
      </c>
      <c r="I12">
        <f t="shared" si="4"/>
        <v>4.8012291146530787E-6</v>
      </c>
      <c r="J12">
        <f>H12*15.6*A12</f>
        <v>0.23151334741693874</v>
      </c>
    </row>
    <row r="13" spans="1:11" x14ac:dyDescent="0.25">
      <c r="A13">
        <v>2</v>
      </c>
      <c r="B13">
        <v>163.69999999999999</v>
      </c>
      <c r="C13">
        <v>167.1</v>
      </c>
      <c r="D13">
        <v>173.9</v>
      </c>
      <c r="F13">
        <f>AVERAGE(B13:E13)</f>
        <v>168.23333333333332</v>
      </c>
      <c r="G13">
        <f>STDEVA(B13:E13)/SQRT(COUNT(B13:E13))</f>
        <v>2.9985181525398747</v>
      </c>
      <c r="H13">
        <f>F13/10414</f>
        <v>1.615453556110364E-2</v>
      </c>
      <c r="I13">
        <f t="shared" si="4"/>
        <v>2.8793145309582053E-4</v>
      </c>
      <c r="J13">
        <f>H13*15.6*A13</f>
        <v>0.50402150950643354</v>
      </c>
    </row>
    <row r="14" spans="1:11" x14ac:dyDescent="0.25">
      <c r="A14">
        <v>3</v>
      </c>
      <c r="B14">
        <v>137.1</v>
      </c>
      <c r="C14">
        <v>150.9</v>
      </c>
      <c r="F14">
        <f>AVERAGE(B14:E14)</f>
        <v>144</v>
      </c>
      <c r="G14">
        <f>STDEVA(B14:E14)/SQRT(COUNT(B14:E14))</f>
        <v>6.9000000000000048</v>
      </c>
      <c r="H14">
        <f>F14/10414</f>
        <v>1.3827539850201652E-2</v>
      </c>
      <c r="I14">
        <f t="shared" si="4"/>
        <v>6.625696178221629E-4</v>
      </c>
      <c r="J14">
        <f>H14*15.6*A14</f>
        <v>0.64712886498943734</v>
      </c>
    </row>
    <row r="15" spans="1:11" x14ac:dyDescent="0.25">
      <c r="A15">
        <v>4</v>
      </c>
      <c r="B15">
        <v>150.1</v>
      </c>
      <c r="C15">
        <v>129.9</v>
      </c>
      <c r="F15">
        <f>AVERAGE(B15:E15)</f>
        <v>140</v>
      </c>
      <c r="G15">
        <f>STDEVA(B15:E15)/SQRT(COUNT(B15:E15))</f>
        <v>10.099999999999994</v>
      </c>
      <c r="H15">
        <f>F15/10414</f>
        <v>1.3443441521029383E-2</v>
      </c>
      <c r="I15">
        <f t="shared" si="4"/>
        <v>9.6984828115997642E-4</v>
      </c>
      <c r="J15">
        <f>H15*15.6*A15</f>
        <v>0.83887075091223351</v>
      </c>
    </row>
    <row r="18" spans="1:12" x14ac:dyDescent="0.25">
      <c r="H18" t="s">
        <v>12</v>
      </c>
      <c r="J18">
        <v>0.83887075091223395</v>
      </c>
      <c r="K18">
        <f>H7*29.61</f>
        <v>4.0461408200499323</v>
      </c>
      <c r="L18">
        <f>K18+J18</f>
        <v>4.885011570962166</v>
      </c>
    </row>
    <row r="19" spans="1:12" x14ac:dyDescent="0.25">
      <c r="J19">
        <f>15.6*0.29903</f>
        <v>4.6648680000000002</v>
      </c>
      <c r="L19">
        <f>(L18-J19)/J19*100</f>
        <v>4.7191811421494823</v>
      </c>
    </row>
    <row r="24" spans="1:12" x14ac:dyDescent="0.25">
      <c r="A24">
        <v>5</v>
      </c>
      <c r="B24">
        <v>110.6</v>
      </c>
      <c r="C24">
        <v>14.5</v>
      </c>
      <c r="F24">
        <f>AVERAGE(B24:E24)</f>
        <v>62.55</v>
      </c>
      <c r="G24">
        <f>STDEVA(B24:E24)/SQRT(COUNT(B24:E24))</f>
        <v>48.05</v>
      </c>
      <c r="H24">
        <f>F24/10414</f>
        <v>6.0063376224313422E-3</v>
      </c>
      <c r="J24">
        <f>H24*15.6*A24</f>
        <v>0.46849433454964462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RB</vt:lpstr>
      <vt:lpstr>FITC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Lubowsky</dc:creator>
  <cp:lastModifiedBy>Diego</cp:lastModifiedBy>
  <dcterms:created xsi:type="dcterms:W3CDTF">2018-10-24T18:46:13Z</dcterms:created>
  <dcterms:modified xsi:type="dcterms:W3CDTF">2018-10-31T10:28:30Z</dcterms:modified>
</cp:coreProperties>
</file>
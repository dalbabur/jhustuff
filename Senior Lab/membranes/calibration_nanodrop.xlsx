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ocuments\MATLAB\JHU\Senior Lab\membranes\"/>
    </mc:Choice>
  </mc:AlternateContent>
  <xr:revisionPtr revIDLastSave="0" documentId="13_ncr:1_{887B68A0-1287-4033-8763-6DEF4CC47FCF}" xr6:coauthVersionLast="40" xr6:coauthVersionMax="40" xr10:uidLastSave="{00000000-0000-0000-0000-000000000000}"/>
  <bookViews>
    <workbookView xWindow="0" yWindow="0" windowWidth="28800" windowHeight="12165" activeTab="1" xr2:uid="{C05624D1-74F2-4225-8D37-F4329D708B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2" l="1"/>
  <c r="D20" i="2" l="1"/>
  <c r="E20" i="2"/>
  <c r="F20" i="2"/>
  <c r="G20" i="2" s="1"/>
  <c r="E16" i="2"/>
  <c r="F16" i="2" s="1"/>
  <c r="G16" i="2" s="1"/>
  <c r="D16" i="2"/>
  <c r="E12" i="2"/>
  <c r="F12" i="2"/>
  <c r="G12" i="2" s="1"/>
  <c r="D12" i="2"/>
  <c r="F8" i="2"/>
  <c r="D8" i="2"/>
  <c r="E4" i="2"/>
  <c r="F4" i="2"/>
  <c r="D4" i="2"/>
  <c r="F16" i="1"/>
  <c r="G16" i="1" s="1"/>
  <c r="F8" i="1"/>
  <c r="E16" i="1"/>
  <c r="E12" i="1"/>
  <c r="F12" i="1" s="1"/>
  <c r="G12" i="1" s="1"/>
  <c r="E8" i="1"/>
  <c r="D16" i="1"/>
  <c r="D12" i="1"/>
  <c r="D8" i="1"/>
  <c r="E4" i="1"/>
  <c r="F4" i="1" s="1"/>
  <c r="G4" i="1" s="1"/>
  <c r="D4" i="1"/>
  <c r="G8" i="2" l="1"/>
  <c r="G8" i="1"/>
  <c r="G4" i="2"/>
</calcChain>
</file>

<file path=xl/sharedStrings.xml><?xml version="1.0" encoding="utf-8"?>
<sst xmlns="http://schemas.openxmlformats.org/spreadsheetml/2006/main" count="14" uniqueCount="8">
  <si>
    <t>mg/mL</t>
  </si>
  <si>
    <t>RFU</t>
  </si>
  <si>
    <t>Avg RFU</t>
  </si>
  <si>
    <t>Std Dev</t>
  </si>
  <si>
    <t>Error</t>
  </si>
  <si>
    <t>Rhod-B</t>
  </si>
  <si>
    <t>% Err</t>
  </si>
  <si>
    <t>DexFITC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</si>
</sst>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Dex-FITC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forward val="0.1"/>
            <c:backward val="0.25600000000000001"/>
            <c:intercept val="0"/>
            <c:dispRSqr val="1"/>
            <c:dispEq val="1"/>
            <c:trendlineLbl>
              <c:layout>
                <c:manualLayout>
                  <c:x val="-0.52308550910187201"/>
                  <c:y val="-2.318011776908460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10414x</a:t>
                    </a:r>
                    <a:br>
                      <a:rPr lang="en-US" sz="9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9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0.9887</a:t>
                    </a:r>
                    <a:endParaRPr lang="en-US" sz="90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 w="12700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(Sheet1!$F$4,Sheet1!$F$8,Sheet1!$F$12,Sheet1!$F$16)</c:f>
                <c:numCache>
                  <c:formatCode>General</c:formatCode>
                  <c:ptCount val="4"/>
                  <c:pt idx="0">
                    <c:v>315.56351282269645</c:v>
                  </c:pt>
                  <c:pt idx="1">
                    <c:v>128.21586940260815</c:v>
                  </c:pt>
                  <c:pt idx="2">
                    <c:v>194.12983842435631</c:v>
                  </c:pt>
                  <c:pt idx="3">
                    <c:v>183.31773418484826</c:v>
                  </c:pt>
                </c:numCache>
              </c:numRef>
            </c:plus>
            <c:minus>
              <c:numRef>
                <c:f>(Sheet1!$F$4,Sheet1!$F$8,Sheet1!$F$12,Sheet1!$F$16)</c:f>
                <c:numCache>
                  <c:formatCode>General</c:formatCode>
                  <c:ptCount val="4"/>
                  <c:pt idx="0">
                    <c:v>315.56351282269645</c:v>
                  </c:pt>
                  <c:pt idx="1">
                    <c:v>128.21586940260815</c:v>
                  </c:pt>
                  <c:pt idx="2">
                    <c:v>194.12983842435631</c:v>
                  </c:pt>
                  <c:pt idx="3">
                    <c:v>183.31773418484826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(Sheet1!$B$4,Sheet1!$B$8,Sheet1!$B$12,Sheet1!$B$16)</c:f>
              <c:numCache>
                <c:formatCode>General</c:formatCode>
                <c:ptCount val="4"/>
                <c:pt idx="0">
                  <c:v>0.45</c:v>
                </c:pt>
                <c:pt idx="1">
                  <c:v>0.4</c:v>
                </c:pt>
                <c:pt idx="2">
                  <c:v>0.35</c:v>
                </c:pt>
                <c:pt idx="3">
                  <c:v>0.3</c:v>
                </c:pt>
              </c:numCache>
            </c:numRef>
          </c:xVal>
          <c:yVal>
            <c:numRef>
              <c:f>(Sheet1!$D$4,Sheet1!$D$8,Sheet1!$D$12,Sheet1!$D$16)</c:f>
              <c:numCache>
                <c:formatCode>General</c:formatCode>
                <c:ptCount val="4"/>
                <c:pt idx="0">
                  <c:v>4618.9750000000004</c:v>
                </c:pt>
                <c:pt idx="1">
                  <c:v>4179.8500000000004</c:v>
                </c:pt>
                <c:pt idx="2">
                  <c:v>3637.85</c:v>
                </c:pt>
                <c:pt idx="3">
                  <c:v>3213.7999999999997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C2-4131-AA9A-DF6C7F3B4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653800"/>
        <c:axId val="567654784"/>
      </c:scatterChart>
      <c:valAx>
        <c:axId val="567653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Dextran-FITC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Concentration (mg/mL)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67654784"/>
        <c:crosses val="autoZero"/>
        <c:crossBetween val="midCat"/>
      </c:valAx>
      <c:valAx>
        <c:axId val="5676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Relative Fluorescence Units (RFUs)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67653800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82174103237095"/>
          <c:y val="4.8888888888888891E-2"/>
          <c:w val="0.7950533683289589"/>
          <c:h val="0.76305931758530188"/>
        </c:manualLayout>
      </c:layout>
      <c:scatterChart>
        <c:scatterStyle val="lineMarker"/>
        <c:varyColors val="0"/>
        <c:ser>
          <c:idx val="0"/>
          <c:order val="0"/>
          <c:tx>
            <c:v>mg/mL vs RFU for Rhodamine-B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C0099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CC0099"/>
                </a:solidFill>
                <a:prstDash val="sysDot"/>
              </a:ln>
              <a:effectLst/>
            </c:spPr>
            <c:trendlineType val="linear"/>
            <c:forward val="5.0000000000000012E-4"/>
            <c:backward val="1.0000000000000002E-3"/>
            <c:intercept val="0"/>
            <c:dispRSqr val="1"/>
            <c:dispEq val="1"/>
            <c:trendlineLbl>
              <c:layout>
                <c:manualLayout>
                  <c:x val="-0.5265295015705227"/>
                  <c:y val="-4.0909448818897638E-2"/>
                </c:manualLayout>
              </c:layout>
              <c:numFmt formatCode="General" sourceLinked="0"/>
              <c:spPr>
                <a:solidFill>
                  <a:schemeClr val="bg1"/>
                </a:solidFill>
                <a:ln w="12700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(Sheet2!$F$4,Sheet2!$F$8,Sheet2!$F$12,Sheet2!$F$16,Sheet2!$F$20)</c:f>
                <c:numCache>
                  <c:formatCode>General</c:formatCode>
                  <c:ptCount val="5"/>
                  <c:pt idx="0">
                    <c:v>77.512680414239526</c:v>
                  </c:pt>
                  <c:pt idx="1">
                    <c:v>236.0346068376418</c:v>
                  </c:pt>
                  <c:pt idx="2">
                    <c:v>39.038015659952102</c:v>
                  </c:pt>
                  <c:pt idx="3">
                    <c:v>165.07314224811472</c:v>
                  </c:pt>
                  <c:pt idx="4">
                    <c:v>318.16269619488662</c:v>
                  </c:pt>
                </c:numCache>
              </c:numRef>
            </c:plus>
            <c:minus>
              <c:numRef>
                <c:f>(Sheet2!$F$4,Sheet2!$F$8,Sheet2!$F$12,Sheet2!$F$16,Sheet2!$F$20)</c:f>
                <c:numCache>
                  <c:formatCode>General</c:formatCode>
                  <c:ptCount val="5"/>
                  <c:pt idx="0">
                    <c:v>77.512680414239526</c:v>
                  </c:pt>
                  <c:pt idx="1">
                    <c:v>236.0346068376418</c:v>
                  </c:pt>
                  <c:pt idx="2">
                    <c:v>39.038015659952102</c:v>
                  </c:pt>
                  <c:pt idx="3">
                    <c:v>165.07314224811472</c:v>
                  </c:pt>
                  <c:pt idx="4">
                    <c:v>318.16269619488662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(Sheet2!$B$4,Sheet2!$B$8,Sheet2!$B$12,Sheet2!$B$16,Sheet2!$B$20,Sheet2!$B$24)</c:f>
              <c:numCache>
                <c:formatCode>General</c:formatCode>
                <c:ptCount val="6"/>
                <c:pt idx="0">
                  <c:v>2.5000000000000001E-3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1.2500000000000001E-2</c:v>
                </c:pt>
              </c:numCache>
            </c:numRef>
          </c:xVal>
          <c:yVal>
            <c:numRef>
              <c:f>(Sheet2!$D$4,Sheet2!$D$8,Sheet2!$D$12,Sheet2!$D$16,Sheet2!$D$20,Sheet2!$D$24)</c:f>
              <c:numCache>
                <c:formatCode>General</c:formatCode>
                <c:ptCount val="6"/>
                <c:pt idx="0">
                  <c:v>844.42499999999995</c:v>
                </c:pt>
                <c:pt idx="1">
                  <c:v>1420.2249999999999</c:v>
                </c:pt>
                <c:pt idx="2">
                  <c:v>1641.4</c:v>
                </c:pt>
                <c:pt idx="3">
                  <c:v>1854.0750000000003</c:v>
                </c:pt>
                <c:pt idx="4">
                  <c:v>2705.75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6B-4C9A-980F-B6CF21C7C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566056"/>
        <c:axId val="606566384"/>
      </c:scatterChart>
      <c:valAx>
        <c:axId val="60656605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RhoB Concentration (mg/mL)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06566384"/>
        <c:crosses val="autoZero"/>
        <c:crossBetween val="midCat"/>
        <c:majorUnit val="2.3000000000000004E-3"/>
      </c:valAx>
      <c:valAx>
        <c:axId val="60656638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Relative Fluorescence Units (RFUs)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06566056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99110</xdr:colOff>
      <xdr:row>1</xdr:row>
      <xdr:rowOff>171192</xdr:rowOff>
    </xdr:from>
    <xdr:to>
      <xdr:col>16</xdr:col>
      <xdr:colOff>90615</xdr:colOff>
      <xdr:row>17</xdr:row>
      <xdr:rowOff>148539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CB6F9-EBF3-49D4-8C2C-23AE62F50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122432</xdr:colOff>
      <xdr:row>1</xdr:row>
      <xdr:rowOff>179599</xdr:rowOff>
    </xdr:from>
    <xdr:to>
      <xdr:col>24</xdr:col>
      <xdr:colOff>137226</xdr:colOff>
      <xdr:row>17</xdr:row>
      <xdr:rowOff>138411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A11753-F41A-4C3F-95AD-7491CAC33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73F4-0AF7-4BBA-A398-334C888B3853}">
  <dimension ref="A1:G19"/>
  <sheetViews>
    <sheetView zoomScale="115" zoomScaleNormal="115" workbookViewId="0">
      <selection activeCell="L23" sqref="L23"/>
    </sheetView>
  </sheetViews>
  <sheetFormatPr defaultRowHeight="15" x14ac:dyDescent="0.25"/>
  <cols>
    <col min="1" max="1" width="9.28515625" customWidth="1"/>
    <col min="2" max="2" width="9.85546875" customWidth="1"/>
  </cols>
  <sheetData>
    <row r="1" spans="1:7" ht="15.75" thickBot="1" x14ac:dyDescent="0.3"/>
    <row r="2" spans="1:7" x14ac:dyDescent="0.25">
      <c r="A2" s="20"/>
      <c r="B2" s="17" t="s">
        <v>7</v>
      </c>
      <c r="C2" s="1"/>
      <c r="D2" s="18"/>
      <c r="E2" s="18"/>
      <c r="F2" s="18"/>
      <c r="G2" s="19"/>
    </row>
    <row r="3" spans="1:7" ht="15.75" thickBot="1" x14ac:dyDescent="0.3">
      <c r="B3" s="1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6" t="s">
        <v>6</v>
      </c>
    </row>
    <row r="4" spans="1:7" x14ac:dyDescent="0.25">
      <c r="B4" s="6">
        <v>0.45</v>
      </c>
      <c r="C4" s="7">
        <v>3861.9</v>
      </c>
      <c r="D4" s="7">
        <f>AVERAGE(C4:C7)</f>
        <v>4618.9750000000004</v>
      </c>
      <c r="E4" s="7">
        <f>_xlfn.STDEV.S(C4:C7)</f>
        <v>631.12702564539291</v>
      </c>
      <c r="F4" s="7">
        <f>E4/SQRT(4)</f>
        <v>315.56351282269645</v>
      </c>
      <c r="G4" s="8">
        <f>F4/D4*100</f>
        <v>6.8318947996621855</v>
      </c>
    </row>
    <row r="5" spans="1:7" x14ac:dyDescent="0.25">
      <c r="B5" s="6"/>
      <c r="C5" s="7">
        <v>4927.8</v>
      </c>
      <c r="D5" s="7"/>
      <c r="E5" s="7"/>
      <c r="F5" s="7"/>
      <c r="G5" s="8"/>
    </row>
    <row r="6" spans="1:7" x14ac:dyDescent="0.25">
      <c r="B6" s="6"/>
      <c r="C6" s="7">
        <v>4381.6000000000004</v>
      </c>
      <c r="D6" s="7"/>
      <c r="E6" s="7"/>
      <c r="F6" s="7"/>
      <c r="G6" s="8"/>
    </row>
    <row r="7" spans="1:7" x14ac:dyDescent="0.25">
      <c r="B7" s="6"/>
      <c r="C7" s="7">
        <v>5304.6</v>
      </c>
      <c r="D7" s="7"/>
      <c r="E7" s="7"/>
      <c r="F7" s="7"/>
      <c r="G7" s="8"/>
    </row>
    <row r="8" spans="1:7" x14ac:dyDescent="0.25">
      <c r="B8" s="9">
        <v>0.4</v>
      </c>
      <c r="C8" s="10">
        <v>3889.9</v>
      </c>
      <c r="D8" s="10">
        <f>AVERAGE(C8:C11)</f>
        <v>4179.8500000000004</v>
      </c>
      <c r="E8" s="10">
        <f>_xlfn.STDEV.S(C8:C11)</f>
        <v>256.4317388052163</v>
      </c>
      <c r="F8" s="10">
        <f>E8/SQRT(4)</f>
        <v>128.21586940260815</v>
      </c>
      <c r="G8" s="11">
        <f t="shared" ref="G8:G16" si="0">F8/D8*100</f>
        <v>3.0674753735805864</v>
      </c>
    </row>
    <row r="9" spans="1:7" x14ac:dyDescent="0.25">
      <c r="B9" s="6"/>
      <c r="C9" s="7">
        <v>4408.7</v>
      </c>
      <c r="D9" s="7"/>
      <c r="E9" s="7"/>
      <c r="F9" s="7"/>
      <c r="G9" s="8"/>
    </row>
    <row r="10" spans="1:7" x14ac:dyDescent="0.25">
      <c r="B10" s="6"/>
      <c r="C10" s="7">
        <v>4038.7</v>
      </c>
      <c r="D10" s="7"/>
      <c r="E10" s="7"/>
      <c r="F10" s="7"/>
      <c r="G10" s="8"/>
    </row>
    <row r="11" spans="1:7" x14ac:dyDescent="0.25">
      <c r="B11" s="6"/>
      <c r="C11" s="7">
        <v>4382.1000000000004</v>
      </c>
      <c r="D11" s="7"/>
      <c r="E11" s="7"/>
      <c r="F11" s="7"/>
      <c r="G11" s="8"/>
    </row>
    <row r="12" spans="1:7" x14ac:dyDescent="0.25">
      <c r="B12" s="9">
        <v>0.35</v>
      </c>
      <c r="C12" s="10">
        <v>4142.3</v>
      </c>
      <c r="D12" s="10">
        <f>AVERAGE(C12:C15)</f>
        <v>3637.85</v>
      </c>
      <c r="E12" s="10">
        <f>_xlfn.STDEV.S(C12:C15)</f>
        <v>388.25967684871262</v>
      </c>
      <c r="F12" s="10">
        <f>E12/SQRT(4)</f>
        <v>194.12983842435631</v>
      </c>
      <c r="G12" s="11">
        <f t="shared" si="0"/>
        <v>5.3363893075403412</v>
      </c>
    </row>
    <row r="13" spans="1:7" x14ac:dyDescent="0.25">
      <c r="B13" s="6"/>
      <c r="C13" s="7">
        <v>3694.6</v>
      </c>
      <c r="D13" s="7"/>
      <c r="E13" s="7"/>
      <c r="F13" s="7"/>
      <c r="G13" s="8"/>
    </row>
    <row r="14" spans="1:7" x14ac:dyDescent="0.25">
      <c r="B14" s="6"/>
      <c r="C14" s="7">
        <v>3493.4</v>
      </c>
      <c r="D14" s="7"/>
      <c r="E14" s="7"/>
      <c r="F14" s="7"/>
      <c r="G14" s="8"/>
    </row>
    <row r="15" spans="1:7" x14ac:dyDescent="0.25">
      <c r="B15" s="6"/>
      <c r="C15" s="7">
        <v>3221.1</v>
      </c>
      <c r="D15" s="7"/>
      <c r="E15" s="7"/>
      <c r="F15" s="7"/>
      <c r="G15" s="8"/>
    </row>
    <row r="16" spans="1:7" x14ac:dyDescent="0.25">
      <c r="B16" s="9">
        <v>0.3</v>
      </c>
      <c r="C16" s="10">
        <v>3369.9</v>
      </c>
      <c r="D16" s="10">
        <f>AVERAGE(C16:C19)</f>
        <v>3213.7999999999997</v>
      </c>
      <c r="E16" s="10">
        <f>_xlfn.STDEV.S(C16:C19)</f>
        <v>366.63546836969653</v>
      </c>
      <c r="F16" s="10">
        <f>E16/SQRT(4)</f>
        <v>183.31773418484826</v>
      </c>
      <c r="G16" s="11">
        <f t="shared" si="0"/>
        <v>5.7040803467810157</v>
      </c>
    </row>
    <row r="17" spans="2:7" x14ac:dyDescent="0.25">
      <c r="B17" s="6"/>
      <c r="C17" s="7">
        <v>3303.5</v>
      </c>
      <c r="D17" s="7"/>
      <c r="E17" s="7"/>
      <c r="F17" s="7"/>
      <c r="G17" s="8"/>
    </row>
    <row r="18" spans="2:7" x14ac:dyDescent="0.25">
      <c r="B18" s="6"/>
      <c r="C18" s="7">
        <v>2678.2</v>
      </c>
      <c r="D18" s="7"/>
      <c r="E18" s="7"/>
      <c r="F18" s="7"/>
      <c r="G18" s="8"/>
    </row>
    <row r="19" spans="2:7" ht="15.75" thickBot="1" x14ac:dyDescent="0.3">
      <c r="B19" s="3"/>
      <c r="C19" s="4">
        <v>3503.6</v>
      </c>
      <c r="D19" s="4"/>
      <c r="E19" s="4"/>
      <c r="F19" s="4"/>
      <c r="G19" s="5"/>
    </row>
  </sheetData>
  <pageMargins left="0.7" right="0.7" top="0.75" bottom="0.75" header="0.3" footer="0.3"/>
  <ignoredErrors>
    <ignoredError sqref="D4:E4 D8:E8 D12:E12 D16:E1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23B0-E8D0-4832-8D7D-391448841817}">
  <dimension ref="B1:K21"/>
  <sheetViews>
    <sheetView tabSelected="1" zoomScale="115" zoomScaleNormal="115" workbookViewId="0">
      <selection activeCell="J22" sqref="J22"/>
    </sheetView>
  </sheetViews>
  <sheetFormatPr defaultRowHeight="15" x14ac:dyDescent="0.25"/>
  <sheetData>
    <row r="1" spans="2:11" ht="15.75" thickBot="1" x14ac:dyDescent="0.3"/>
    <row r="2" spans="2:11" x14ac:dyDescent="0.25">
      <c r="B2" s="17" t="s">
        <v>5</v>
      </c>
      <c r="C2" s="12"/>
      <c r="D2" s="12"/>
      <c r="E2" s="12"/>
      <c r="F2" s="12"/>
      <c r="G2" s="13"/>
    </row>
    <row r="3" spans="2:11" ht="15.75" thickBot="1" x14ac:dyDescent="0.3">
      <c r="B3" s="1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6" t="s">
        <v>6</v>
      </c>
    </row>
    <row r="4" spans="2:11" x14ac:dyDescent="0.25">
      <c r="B4" s="6">
        <v>2.5000000000000001E-3</v>
      </c>
      <c r="C4" s="7">
        <v>744.4</v>
      </c>
      <c r="D4" s="7">
        <f>AVERAGE(C4:C7)</f>
        <v>844.42499999999995</v>
      </c>
      <c r="E4" s="7">
        <f>_xlfn.STDEV.S(C4:C7)</f>
        <v>155.02536082847905</v>
      </c>
      <c r="F4" s="7">
        <f>E4/SQRT(4)</f>
        <v>77.512680414239526</v>
      </c>
      <c r="G4" s="8">
        <f>F4/D4*100</f>
        <v>9.1793445734363051</v>
      </c>
    </row>
    <row r="5" spans="2:11" x14ac:dyDescent="0.25">
      <c r="B5" s="6"/>
      <c r="C5" s="7">
        <v>879.1</v>
      </c>
      <c r="D5" s="7"/>
      <c r="E5" s="7"/>
      <c r="F5" s="7"/>
      <c r="G5" s="8"/>
    </row>
    <row r="6" spans="2:11" x14ac:dyDescent="0.25">
      <c r="B6" s="6"/>
      <c r="C6" s="7">
        <v>705.7</v>
      </c>
      <c r="D6" s="7"/>
      <c r="E6" s="7"/>
      <c r="F6" s="7"/>
      <c r="G6" s="8"/>
      <c r="K6" s="2"/>
    </row>
    <row r="7" spans="2:11" x14ac:dyDescent="0.25">
      <c r="B7" s="6"/>
      <c r="C7" s="7">
        <v>1048.5</v>
      </c>
      <c r="D7" s="7"/>
      <c r="E7" s="7"/>
      <c r="F7" s="7"/>
      <c r="G7" s="8"/>
    </row>
    <row r="8" spans="2:11" x14ac:dyDescent="0.25">
      <c r="B8" s="9">
        <v>5.0000000000000001E-3</v>
      </c>
      <c r="C8" s="10">
        <v>770.9</v>
      </c>
      <c r="D8" s="10">
        <f>AVERAGE(C8:C11)</f>
        <v>1420.2249999999999</v>
      </c>
      <c r="E8" s="10">
        <f>_xlfn.STDEV.S(C8:C11)</f>
        <v>472.06921367528361</v>
      </c>
      <c r="F8" s="10">
        <f>E8/SQRT(4)</f>
        <v>236.0346068376418</v>
      </c>
      <c r="G8" s="11">
        <f t="shared" ref="G8:G20" si="0">F8/D8*100</f>
        <v>16.619522036131023</v>
      </c>
    </row>
    <row r="9" spans="2:11" x14ac:dyDescent="0.25">
      <c r="B9" s="6"/>
      <c r="C9" s="7">
        <v>1729.4</v>
      </c>
      <c r="D9" s="7"/>
      <c r="E9" s="7"/>
      <c r="F9" s="7"/>
      <c r="G9" s="8"/>
    </row>
    <row r="10" spans="2:11" x14ac:dyDescent="0.25">
      <c r="B10" s="6"/>
      <c r="C10" s="7">
        <v>1806.5</v>
      </c>
      <c r="D10" s="7"/>
      <c r="E10" s="7"/>
      <c r="F10" s="7"/>
      <c r="G10" s="8"/>
    </row>
    <row r="11" spans="2:11" x14ac:dyDescent="0.25">
      <c r="B11" s="6"/>
      <c r="C11" s="7">
        <v>1374.1</v>
      </c>
      <c r="D11" s="7"/>
      <c r="E11" s="7"/>
      <c r="F11" s="7"/>
      <c r="G11" s="8"/>
    </row>
    <row r="12" spans="2:11" x14ac:dyDescent="0.25">
      <c r="B12" s="9">
        <v>7.4999999999999997E-3</v>
      </c>
      <c r="C12" s="10">
        <v>1648</v>
      </c>
      <c r="D12" s="10">
        <f>AVERAGE(C12:C15)</f>
        <v>1641.4</v>
      </c>
      <c r="E12" s="10">
        <f>_xlfn.STDEV.S(C12:C15)</f>
        <v>78.076031319904203</v>
      </c>
      <c r="F12" s="10">
        <f>E12/SQRT(4)</f>
        <v>39.038015659952102</v>
      </c>
      <c r="G12" s="11">
        <f t="shared" si="0"/>
        <v>2.3783365212594187</v>
      </c>
    </row>
    <row r="13" spans="2:11" x14ac:dyDescent="0.25">
      <c r="B13" s="6"/>
      <c r="C13" s="7">
        <v>1547.2</v>
      </c>
      <c r="D13" s="7"/>
      <c r="E13" s="7"/>
      <c r="F13" s="7"/>
      <c r="G13" s="8"/>
    </row>
    <row r="14" spans="2:11" x14ac:dyDescent="0.25">
      <c r="B14" s="6"/>
      <c r="C14" s="7">
        <v>1737.8</v>
      </c>
      <c r="D14" s="7"/>
      <c r="E14" s="7"/>
      <c r="F14" s="7"/>
      <c r="G14" s="8"/>
    </row>
    <row r="15" spans="2:11" x14ac:dyDescent="0.25">
      <c r="B15" s="6"/>
      <c r="C15" s="7">
        <v>1632.6</v>
      </c>
      <c r="D15" s="7"/>
      <c r="E15" s="7"/>
      <c r="F15" s="7"/>
      <c r="G15" s="8"/>
    </row>
    <row r="16" spans="2:11" x14ac:dyDescent="0.25">
      <c r="B16" s="9">
        <v>0.01</v>
      </c>
      <c r="C16" s="10">
        <v>2263.8000000000002</v>
      </c>
      <c r="D16" s="10">
        <f>AVERAGE(C16:C19)</f>
        <v>1854.0750000000003</v>
      </c>
      <c r="E16" s="10">
        <f>_xlfn.STDEV.S(C16:C19)</f>
        <v>330.14628449622944</v>
      </c>
      <c r="F16" s="10">
        <f>E16/SQRT(4)</f>
        <v>165.07314224811472</v>
      </c>
      <c r="G16" s="11">
        <f t="shared" si="0"/>
        <v>8.9032613161881109</v>
      </c>
    </row>
    <row r="17" spans="2:7" x14ac:dyDescent="0.25">
      <c r="B17" s="6"/>
      <c r="C17" s="7">
        <v>1878.9</v>
      </c>
      <c r="D17" s="7"/>
      <c r="E17" s="7"/>
      <c r="F17" s="7"/>
      <c r="G17" s="8"/>
    </row>
    <row r="18" spans="2:7" x14ac:dyDescent="0.25">
      <c r="B18" s="6"/>
      <c r="C18" s="7">
        <v>1815.8</v>
      </c>
      <c r="D18" s="7"/>
      <c r="E18" s="7"/>
      <c r="F18" s="7"/>
      <c r="G18" s="8"/>
    </row>
    <row r="19" spans="2:7" x14ac:dyDescent="0.25">
      <c r="B19" s="6"/>
      <c r="C19" s="7">
        <v>1457.8</v>
      </c>
      <c r="D19" s="7"/>
      <c r="E19" s="7"/>
      <c r="F19" s="7"/>
      <c r="G19" s="8"/>
    </row>
    <row r="20" spans="2:7" x14ac:dyDescent="0.25">
      <c r="B20" s="9">
        <v>1.2500000000000001E-2</v>
      </c>
      <c r="C20" s="10">
        <v>3155.7</v>
      </c>
      <c r="D20" s="10">
        <f>AVERAGE(C20:C23)</f>
        <v>2705.75</v>
      </c>
      <c r="E20" s="10">
        <f>_xlfn.STDEV.S(C20:C23)</f>
        <v>636.32539238977324</v>
      </c>
      <c r="F20" s="10">
        <f>E20/SQRT(4)</f>
        <v>318.16269619488662</v>
      </c>
      <c r="G20" s="11">
        <f t="shared" si="0"/>
        <v>11.758761755331669</v>
      </c>
    </row>
    <row r="21" spans="2:7" ht="15.75" thickBot="1" x14ac:dyDescent="0.3">
      <c r="B21" s="3"/>
      <c r="C21" s="4">
        <v>2255.8000000000002</v>
      </c>
      <c r="D21" s="4"/>
      <c r="E21" s="4"/>
      <c r="F21" s="4"/>
      <c r="G21" s="5"/>
    </row>
  </sheetData>
  <pageMargins left="0.7" right="0.7" top="0.75" bottom="0.75" header="0.3" footer="0.3"/>
  <ignoredErrors>
    <ignoredError sqref="D4:E4 D8:E8 D12:E12 D16:E16 D20:E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joanna</dc:creator>
  <cp:keywords/>
  <dc:description/>
  <cp:lastModifiedBy>Diego</cp:lastModifiedBy>
  <cp:revision/>
  <dcterms:created xsi:type="dcterms:W3CDTF">2018-10-22T02:03:33Z</dcterms:created>
  <dcterms:modified xsi:type="dcterms:W3CDTF">2018-12-02T15:58:14Z</dcterms:modified>
  <cp:category/>
  <cp:contentStatus/>
</cp:coreProperties>
</file>
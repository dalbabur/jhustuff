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13_ncr:1_{C398DA16-67B8-408E-8042-8B6FE1F8F884}" xr6:coauthVersionLast="40" xr6:coauthVersionMax="40" xr10:uidLastSave="{00000000-0000-0000-0000-000000000000}"/>
  <bookViews>
    <workbookView xWindow="0" yWindow="0" windowWidth="19200" windowHeight="8115" tabRatio="500" xr2:uid="{00000000-000D-0000-FFFF-FFFF00000000}"/>
  </bookViews>
  <sheets>
    <sheet name="TMP vs. Filtrate Flux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1" l="1"/>
  <c r="G16" i="1" l="1"/>
  <c r="G17" i="1"/>
  <c r="G18" i="1"/>
  <c r="G19" i="1"/>
  <c r="G20" i="1"/>
  <c r="G21" i="1"/>
  <c r="G22" i="1"/>
  <c r="G23" i="1"/>
  <c r="G27" i="1"/>
  <c r="G28" i="1"/>
  <c r="G29" i="1"/>
  <c r="G30" i="1"/>
  <c r="G31" i="1"/>
  <c r="G32" i="1"/>
  <c r="G5" i="1"/>
  <c r="G6" i="1"/>
  <c r="G7" i="1"/>
  <c r="G8" i="1"/>
  <c r="G9" i="1"/>
  <c r="G10" i="1"/>
  <c r="G11" i="1"/>
  <c r="G12" i="1"/>
  <c r="F23" i="1"/>
  <c r="F28" i="1"/>
  <c r="H28" i="1" s="1"/>
  <c r="F29" i="1"/>
  <c r="H29" i="1" s="1"/>
  <c r="F30" i="1"/>
  <c r="H30" i="1" s="1"/>
  <c r="F31" i="1"/>
  <c r="H31" i="1" s="1"/>
  <c r="F32" i="1"/>
  <c r="H32" i="1" s="1"/>
  <c r="F27" i="1"/>
  <c r="F21" i="1"/>
  <c r="F17" i="1"/>
  <c r="H17" i="1" s="1"/>
  <c r="F18" i="1"/>
  <c r="H18" i="1" s="1"/>
  <c r="F19" i="1"/>
  <c r="F20" i="1"/>
  <c r="E43" i="1" s="1"/>
  <c r="F22" i="1"/>
  <c r="H22" i="1" s="1"/>
  <c r="F16" i="1"/>
  <c r="F9" i="1"/>
  <c r="F7" i="1"/>
  <c r="E36" i="1" s="1"/>
  <c r="F4" i="1"/>
  <c r="F5" i="1"/>
  <c r="H5" i="1" s="1"/>
  <c r="F6" i="1"/>
  <c r="F12" i="1"/>
  <c r="H12" i="1" s="1"/>
  <c r="F8" i="1"/>
  <c r="H8" i="1" s="1"/>
  <c r="F10" i="1"/>
  <c r="H10" i="1" s="1"/>
  <c r="F11" i="1"/>
  <c r="H21" i="1" l="1"/>
  <c r="H20" i="1"/>
  <c r="E37" i="1"/>
  <c r="I22" i="1"/>
  <c r="H23" i="1"/>
  <c r="D42" i="1"/>
  <c r="I17" i="1"/>
  <c r="I31" i="1"/>
  <c r="H7" i="1"/>
  <c r="I21" i="1"/>
  <c r="I29" i="1"/>
  <c r="I20" i="1"/>
  <c r="I30" i="1"/>
  <c r="I28" i="1"/>
  <c r="H11" i="1"/>
  <c r="I11" i="1" s="1"/>
  <c r="I7" i="1"/>
  <c r="H19" i="1"/>
  <c r="I19" i="1" s="1"/>
  <c r="H6" i="1"/>
  <c r="H9" i="1"/>
  <c r="I9" i="1" s="1"/>
  <c r="D36" i="1"/>
  <c r="E42" i="1"/>
  <c r="I8" i="1" l="1"/>
  <c r="I6" i="1"/>
  <c r="I18" i="1"/>
  <c r="I10" i="1"/>
  <c r="I5" i="1"/>
</calcChain>
</file>

<file path=xl/sharedStrings.xml><?xml version="1.0" encoding="utf-8"?>
<sst xmlns="http://schemas.openxmlformats.org/spreadsheetml/2006/main" count="43" uniqueCount="18">
  <si>
    <t>TMP (psig)</t>
  </si>
  <si>
    <t>deriv</t>
  </si>
  <si>
    <t>Err</t>
  </si>
  <si>
    <t>DIF</t>
  </si>
  <si>
    <t>DIF (UNSURE)</t>
  </si>
  <si>
    <t>Q1</t>
  </si>
  <si>
    <t>Q2</t>
  </si>
  <si>
    <t>Q3</t>
  </si>
  <si>
    <t>R/C</t>
  </si>
  <si>
    <t>AREA</t>
  </si>
  <si>
    <t>FEED</t>
  </si>
  <si>
    <t>Q = 50 mL/min</t>
  </si>
  <si>
    <t>Flux 1</t>
  </si>
  <si>
    <t>Flux 2</t>
  </si>
  <si>
    <t>Flux 3</t>
  </si>
  <si>
    <t>Avg Flux</t>
  </si>
  <si>
    <t>Q = 150 mL/min</t>
  </si>
  <si>
    <t>Q = 250 mL/min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</si>
</sst>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9334497492786"/>
          <c:y val="4.0396773231831502E-2"/>
          <c:w val="0.85254290774295738"/>
          <c:h val="0.78951430470849404"/>
        </c:manualLayout>
      </c:layout>
      <c:scatterChart>
        <c:scatterStyle val="smoothMarker"/>
        <c:varyColors val="0"/>
        <c:ser>
          <c:idx val="2"/>
          <c:order val="0"/>
          <c:tx>
            <c:v>250 mL/min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'TMP vs. Filtrate Flux'!$G$27:$G$32</c:f>
                <c:numCache>
                  <c:formatCode>General</c:formatCode>
                  <c:ptCount val="6"/>
                  <c:pt idx="0">
                    <c:v>0.60644684662200787</c:v>
                  </c:pt>
                  <c:pt idx="1">
                    <c:v>0.23333333333333445</c:v>
                  </c:pt>
                  <c:pt idx="2">
                    <c:v>0.15275252316519375</c:v>
                  </c:pt>
                  <c:pt idx="3">
                    <c:v>0.58972686709847344</c:v>
                  </c:pt>
                  <c:pt idx="4">
                    <c:v>0.53644923131437305</c:v>
                  </c:pt>
                  <c:pt idx="5">
                    <c:v>0.25166114784235816</c:v>
                  </c:pt>
                </c:numCache>
              </c:numRef>
            </c:plus>
            <c:minus>
              <c:numRef>
                <c:f>'TMP vs. Filtrate Flux'!$G$27:$G$32</c:f>
                <c:numCache>
                  <c:formatCode>General</c:formatCode>
                  <c:ptCount val="6"/>
                  <c:pt idx="0">
                    <c:v>0.60644684662200787</c:v>
                  </c:pt>
                  <c:pt idx="1">
                    <c:v>0.23333333333333445</c:v>
                  </c:pt>
                  <c:pt idx="2">
                    <c:v>0.15275252316519375</c:v>
                  </c:pt>
                  <c:pt idx="3">
                    <c:v>0.58972686709847344</c:v>
                  </c:pt>
                  <c:pt idx="4">
                    <c:v>0.53644923131437305</c:v>
                  </c:pt>
                  <c:pt idx="5">
                    <c:v>0.25166114784235816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'TMP vs. Filtrate Flux'!$B$27:$B$32</c:f>
              <c:numCache>
                <c:formatCode>0.00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'TMP vs. Filtrate Flux'!$F$27:$F$32</c:f>
              <c:numCache>
                <c:formatCode>0.00</c:formatCode>
                <c:ptCount val="6"/>
                <c:pt idx="0">
                  <c:v>26.666666666666668</c:v>
                </c:pt>
                <c:pt idx="1">
                  <c:v>49.666666666666664</c:v>
                </c:pt>
                <c:pt idx="2">
                  <c:v>64</c:v>
                </c:pt>
                <c:pt idx="3">
                  <c:v>71.533333333333317</c:v>
                </c:pt>
                <c:pt idx="4">
                  <c:v>75.36666666666666</c:v>
                </c:pt>
                <c:pt idx="5">
                  <c:v>76.2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18-448C-AA48-35FF2FE32CB4}"/>
            </c:ext>
          </c:extLst>
        </c:ser>
        <c:ser>
          <c:idx val="1"/>
          <c:order val="1"/>
          <c:tx>
            <c:v>150 mL/min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'TMP vs. Filtrate Flux'!$G$16:$G$23</c:f>
                <c:numCache>
                  <c:formatCode>General</c:formatCode>
                  <c:ptCount val="8"/>
                  <c:pt idx="0">
                    <c:v>0.29059326290271159</c:v>
                  </c:pt>
                  <c:pt idx="1">
                    <c:v>0.15275252316519453</c:v>
                  </c:pt>
                  <c:pt idx="2">
                    <c:v>0.13333333333333286</c:v>
                  </c:pt>
                  <c:pt idx="3">
                    <c:v>0.14529663145135596</c:v>
                  </c:pt>
                  <c:pt idx="4">
                    <c:v>0.23333333333333428</c:v>
                  </c:pt>
                  <c:pt idx="5">
                    <c:v>0.13333333333333286</c:v>
                  </c:pt>
                  <c:pt idx="6">
                    <c:v>0.72648315725677903</c:v>
                  </c:pt>
                  <c:pt idx="7">
                    <c:v>0.40000000000000091</c:v>
                  </c:pt>
                </c:numCache>
              </c:numRef>
            </c:plus>
            <c:minus>
              <c:numRef>
                <c:f>'TMP vs. Filtrate Flux'!$G$16:$G$23</c:f>
                <c:numCache>
                  <c:formatCode>General</c:formatCode>
                  <c:ptCount val="8"/>
                  <c:pt idx="0">
                    <c:v>0.29059326290271159</c:v>
                  </c:pt>
                  <c:pt idx="1">
                    <c:v>0.15275252316519453</c:v>
                  </c:pt>
                  <c:pt idx="2">
                    <c:v>0.13333333333333286</c:v>
                  </c:pt>
                  <c:pt idx="3">
                    <c:v>0.14529663145135596</c:v>
                  </c:pt>
                  <c:pt idx="4">
                    <c:v>0.23333333333333428</c:v>
                  </c:pt>
                  <c:pt idx="5">
                    <c:v>0.13333333333333286</c:v>
                  </c:pt>
                  <c:pt idx="6">
                    <c:v>0.72648315725677903</c:v>
                  </c:pt>
                  <c:pt idx="7">
                    <c:v>0.40000000000000091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'TMP vs. Filtrate Flux'!$B$16:$B$23</c:f>
              <c:numCache>
                <c:formatCode>0.00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'TMP vs. Filtrate Flux'!$F$16:$F$23</c:f>
              <c:numCache>
                <c:formatCode>0.00</c:formatCode>
                <c:ptCount val="8"/>
                <c:pt idx="0">
                  <c:v>12.166666666666666</c:v>
                </c:pt>
                <c:pt idx="1">
                  <c:v>24.8</c:v>
                </c:pt>
                <c:pt idx="2">
                  <c:v>36.133333333333333</c:v>
                </c:pt>
                <c:pt idx="3">
                  <c:v>44.066666666666663</c:v>
                </c:pt>
                <c:pt idx="4">
                  <c:v>52.033333333333331</c:v>
                </c:pt>
                <c:pt idx="5">
                  <c:v>55.166666666666664</c:v>
                </c:pt>
                <c:pt idx="6">
                  <c:v>57.233333333333327</c:v>
                </c:pt>
                <c:pt idx="7">
                  <c:v>58.6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18-448C-AA48-35FF2FE32CB4}"/>
            </c:ext>
          </c:extLst>
        </c:ser>
        <c:ser>
          <c:idx val="3"/>
          <c:order val="2"/>
          <c:tx>
            <c:v>50 mL/min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'TMP vs. Filtrate Flux'!$G$4:$G$12</c:f>
                <c:numCache>
                  <c:formatCode>General</c:formatCode>
                  <c:ptCount val="9"/>
                  <c:pt idx="0">
                    <c:v>0.23333333333333353</c:v>
                  </c:pt>
                  <c:pt idx="1">
                    <c:v>0.25166114784235838</c:v>
                  </c:pt>
                  <c:pt idx="2">
                    <c:v>0.16666666666666666</c:v>
                  </c:pt>
                  <c:pt idx="3">
                    <c:v>0.79652020968990178</c:v>
                  </c:pt>
                  <c:pt idx="4">
                    <c:v>0.2081665999466131</c:v>
                  </c:pt>
                  <c:pt idx="5">
                    <c:v>0.19999999999999929</c:v>
                  </c:pt>
                  <c:pt idx="6">
                    <c:v>0.28867513459481292</c:v>
                  </c:pt>
                  <c:pt idx="7">
                    <c:v>0.16666666666666669</c:v>
                  </c:pt>
                  <c:pt idx="8">
                    <c:v>1.1976829482147793</c:v>
                  </c:pt>
                </c:numCache>
              </c:numRef>
            </c:plus>
            <c:minus>
              <c:numRef>
                <c:f>'TMP vs. Filtrate Flux'!$G$4:$G$12</c:f>
                <c:numCache>
                  <c:formatCode>General</c:formatCode>
                  <c:ptCount val="9"/>
                  <c:pt idx="0">
                    <c:v>0.23333333333333353</c:v>
                  </c:pt>
                  <c:pt idx="1">
                    <c:v>0.25166114784235838</c:v>
                  </c:pt>
                  <c:pt idx="2">
                    <c:v>0.16666666666666666</c:v>
                  </c:pt>
                  <c:pt idx="3">
                    <c:v>0.79652020968990178</c:v>
                  </c:pt>
                  <c:pt idx="4">
                    <c:v>0.2081665999466131</c:v>
                  </c:pt>
                  <c:pt idx="5">
                    <c:v>0.19999999999999929</c:v>
                  </c:pt>
                  <c:pt idx="6">
                    <c:v>0.28867513459481292</c:v>
                  </c:pt>
                  <c:pt idx="7">
                    <c:v>0.16666666666666669</c:v>
                  </c:pt>
                  <c:pt idx="8">
                    <c:v>1.1976829482147793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'TMP vs. Filtrate Flux'!$B$4:$B$12</c:f>
              <c:numCache>
                <c:formatCode>0.00</c:formatCod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xVal>
          <c:yVal>
            <c:numRef>
              <c:f>'TMP vs. Filtrate Flux'!$F$4:$F$12</c:f>
              <c:numCache>
                <c:formatCode>0.00</c:formatCode>
                <c:ptCount val="9"/>
                <c:pt idx="0">
                  <c:v>11.933333333333332</c:v>
                </c:pt>
                <c:pt idx="1">
                  <c:v>17.2</c:v>
                </c:pt>
                <c:pt idx="2">
                  <c:v>20.133333333333336</c:v>
                </c:pt>
                <c:pt idx="3">
                  <c:v>24.533333333333331</c:v>
                </c:pt>
                <c:pt idx="4">
                  <c:v>25.400000000000002</c:v>
                </c:pt>
                <c:pt idx="5">
                  <c:v>27.3</c:v>
                </c:pt>
                <c:pt idx="6">
                  <c:v>28.7</c:v>
                </c:pt>
                <c:pt idx="7">
                  <c:v>29.033333333333331</c:v>
                </c:pt>
                <c:pt idx="8">
                  <c:v>29.566666666666666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318-448C-AA48-35FF2FE3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7680"/>
        <c:axId val="843878336"/>
      </c:scatterChart>
      <c:valAx>
        <c:axId val="843877680"/>
        <c:scaling>
          <c:orientation val="minMax"/>
          <c:max val="12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8336"/>
        <c:crossesAt val="-6"/>
        <c:crossBetween val="midCat"/>
        <c:majorUnit val="1"/>
      </c:valAx>
      <c:valAx>
        <c:axId val="843878336"/>
        <c:scaling>
          <c:orientation val="minMax"/>
          <c:max val="9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Permeate FLux (LMH)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7680"/>
        <c:crossesAt val="0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461218030128369"/>
          <c:y val="0.12364945800553981"/>
          <c:w val="0.16317664758406439"/>
          <c:h val="0.19765281669108131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9334497492786"/>
          <c:y val="4.0396773231831502E-2"/>
          <c:w val="0.85652108335373345"/>
          <c:h val="0.78951430470849404"/>
        </c:manualLayout>
      </c:layout>
      <c:scatterChart>
        <c:scatterStyle val="smoothMarker"/>
        <c:varyColors val="0"/>
        <c:ser>
          <c:idx val="3"/>
          <c:order val="0"/>
          <c:tx>
            <c:v>50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'TMP vs. Filtrate Flux'!$B$4:$B$12</c:f>
              <c:numCache>
                <c:formatCode>0.00</c:formatCode>
                <c:ptCount val="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xVal>
          <c:yVal>
            <c:numRef>
              <c:f>'TMP vs. Filtrate Flux'!$H$5:$H$12</c:f>
              <c:numCache>
                <c:formatCode>0.00</c:formatCode>
                <c:ptCount val="8"/>
                <c:pt idx="0">
                  <c:v>10.533333333333335</c:v>
                </c:pt>
                <c:pt idx="1">
                  <c:v>5.8666666666666742</c:v>
                </c:pt>
                <c:pt idx="2">
                  <c:v>4.399999999999995</c:v>
                </c:pt>
                <c:pt idx="3">
                  <c:v>0.86666666666667069</c:v>
                </c:pt>
                <c:pt idx="4">
                  <c:v>0.94999999999999929</c:v>
                </c:pt>
                <c:pt idx="5">
                  <c:v>0.69999999999999929</c:v>
                </c:pt>
                <c:pt idx="6">
                  <c:v>0.16666666666666607</c:v>
                </c:pt>
                <c:pt idx="7">
                  <c:v>0.2666666666666675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318-448C-AA48-35FF2FE32CB4}"/>
            </c:ext>
          </c:extLst>
        </c:ser>
        <c:ser>
          <c:idx val="1"/>
          <c:order val="1"/>
          <c:tx>
            <c:v>150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'TMP vs. Filtrate Flux'!$B$16:$B$23</c:f>
              <c:numCache>
                <c:formatCode>0.00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'TMP vs. Filtrate Flux'!$H$17:$H$23</c:f>
              <c:numCache>
                <c:formatCode>0.00</c:formatCode>
                <c:ptCount val="7"/>
                <c:pt idx="0">
                  <c:v>12.633333333333335</c:v>
                </c:pt>
                <c:pt idx="1">
                  <c:v>11.333333333333332</c:v>
                </c:pt>
                <c:pt idx="2">
                  <c:v>7.93333333333333</c:v>
                </c:pt>
                <c:pt idx="3">
                  <c:v>3.9833333333333343</c:v>
                </c:pt>
                <c:pt idx="4">
                  <c:v>1.5666666666666664</c:v>
                </c:pt>
                <c:pt idx="5">
                  <c:v>1.0333333333333314</c:v>
                </c:pt>
                <c:pt idx="6">
                  <c:v>0.68333333333333712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18-448C-AA48-35FF2FE32CB4}"/>
            </c:ext>
          </c:extLst>
        </c:ser>
        <c:ser>
          <c:idx val="2"/>
          <c:order val="2"/>
          <c:tx>
            <c:v>250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'TMP vs. Filtrate Flux'!$B$27:$B$32</c:f>
              <c:numCache>
                <c:formatCode>0.00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'TMP vs. Filtrate Flux'!$H$28:$H$32</c:f>
              <c:numCache>
                <c:formatCode>0.00</c:formatCode>
                <c:ptCount val="5"/>
                <c:pt idx="0">
                  <c:v>11.499999999999998</c:v>
                </c:pt>
                <c:pt idx="1">
                  <c:v>7.1666666666666679</c:v>
                </c:pt>
                <c:pt idx="2">
                  <c:v>3.7666666666666586</c:v>
                </c:pt>
                <c:pt idx="3">
                  <c:v>1.9166666666666714</c:v>
                </c:pt>
                <c:pt idx="4">
                  <c:v>0.4166666666666714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18-448C-AA48-35FF2FE3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7680"/>
        <c:axId val="843878336"/>
      </c:scatterChart>
      <c:valAx>
        <c:axId val="843877680"/>
        <c:scaling>
          <c:orientation val="minMax"/>
          <c:max val="12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Transmembrane pressure (psig)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8336"/>
        <c:crossesAt val="-6"/>
        <c:crossBetween val="midCat"/>
        <c:majorUnit val="1"/>
      </c:valAx>
      <c:valAx>
        <c:axId val="84387833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dFlux/dTMP (LMH/psig)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7680"/>
        <c:crossesAt val="0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3</xdr:row>
      <xdr:rowOff>82551</xdr:rowOff>
    </xdr:from>
    <xdr:to>
      <xdr:col>17</xdr:col>
      <xdr:colOff>44450</xdr:colOff>
      <xdr:row>36</xdr:row>
      <xdr:rowOff>4630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19AEE9E-45D4-4886-B350-424E06617DC4}"/>
            </a:ext>
          </a:extLst>
        </xdr:cNvPr>
        <xdr:cNvGrpSpPr/>
      </xdr:nvGrpSpPr>
      <xdr:grpSpPr>
        <a:xfrm>
          <a:off x="8039100" y="701676"/>
          <a:ext cx="6397625" cy="6551479"/>
          <a:chOff x="7047767" y="280378"/>
          <a:chExt cx="6426933" cy="6054714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7047767" y="280378"/>
          <a:ext cx="6426933" cy="33376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E115EF-CF72-4BC5-AD5A-5B23FF93AFD7}"/>
              </a:ext>
            </a:extLst>
          </xdr:cNvPr>
          <xdr:cNvGraphicFramePr/>
        </xdr:nvGraphicFramePr>
        <xdr:xfrm>
          <a:off x="7056762" y="3097095"/>
          <a:ext cx="6417408" cy="32379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1DA08A2A-DD9F-4EAD-95DC-4D43BC3434B5}"/>
              </a:ext>
            </a:extLst>
          </xdr:cNvPr>
          <xdr:cNvCxnSpPr/>
        </xdr:nvCxnSpPr>
        <xdr:spPr>
          <a:xfrm flipV="1">
            <a:off x="9096732" y="2391626"/>
            <a:ext cx="0" cy="3181245"/>
          </a:xfrm>
          <a:prstGeom prst="line">
            <a:avLst/>
          </a:prstGeom>
          <a:ln w="25400">
            <a:solidFill>
              <a:schemeClr val="tx2"/>
            </a:solidFill>
            <a:prstDash val="sysDash"/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3582C71F-3EBC-402B-8DFE-CBDED563B7D5}"/>
              </a:ext>
            </a:extLst>
          </xdr:cNvPr>
          <xdr:cNvCxnSpPr/>
        </xdr:nvCxnSpPr>
        <xdr:spPr>
          <a:xfrm flipV="1">
            <a:off x="10469196" y="1611192"/>
            <a:ext cx="0" cy="3780710"/>
          </a:xfrm>
          <a:prstGeom prst="line">
            <a:avLst/>
          </a:prstGeom>
          <a:ln w="25400">
            <a:solidFill>
              <a:schemeClr val="accent3"/>
            </a:solidFill>
            <a:prstDash val="sysDash"/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59D0A484-2800-4380-8666-3F8329B2A1BE}"/>
              </a:ext>
            </a:extLst>
          </xdr:cNvPr>
          <xdr:cNvCxnSpPr/>
        </xdr:nvCxnSpPr>
        <xdr:spPr>
          <a:xfrm flipH="1" flipV="1">
            <a:off x="12292567" y="934605"/>
            <a:ext cx="12644" cy="4667769"/>
          </a:xfrm>
          <a:prstGeom prst="line">
            <a:avLst/>
          </a:prstGeom>
          <a:ln w="25400">
            <a:solidFill>
              <a:schemeClr val="accent5"/>
            </a:solidFill>
            <a:prstDash val="sysDash"/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1</cdr:x>
      <cdr:y>0</cdr:y>
    </cdr:from>
    <cdr:to>
      <cdr:x>1</cdr:x>
      <cdr:y>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BF591563-E14D-48D5-83BA-540A691B76A5}"/>
            </a:ext>
          </a:extLst>
        </cdr:cNvPr>
        <cdr:cNvCxnSpPr/>
      </cdr:nvCxnSpPr>
      <cdr:spPr>
        <a:xfrm xmlns:a="http://schemas.openxmlformats.org/drawingml/2006/main" flipV="1">
          <a:off x="6419850" y="0"/>
          <a:ext cx="0" cy="3248376"/>
        </a:xfrm>
        <a:prstGeom xmlns:a="http://schemas.openxmlformats.org/drawingml/2006/main" prst="line">
          <a:avLst/>
        </a:prstGeom>
        <a:ln xmlns:a="http://schemas.openxmlformats.org/drawingml/2006/main" w="19050"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6" zoomScaleNormal="100" workbookViewId="0">
      <selection activeCell="I33" sqref="I33"/>
    </sheetView>
  </sheetViews>
  <sheetFormatPr defaultColWidth="10.625" defaultRowHeight="15.75" x14ac:dyDescent="0.25"/>
  <cols>
    <col min="2" max="2" width="14.375" customWidth="1"/>
    <col min="3" max="8" width="11.375" customWidth="1"/>
  </cols>
  <sheetData>
    <row r="1" spans="2:9" ht="16.5" thickBot="1" x14ac:dyDescent="0.3"/>
    <row r="2" spans="2:9" x14ac:dyDescent="0.25">
      <c r="B2" s="2" t="s">
        <v>11</v>
      </c>
      <c r="C2" s="3"/>
      <c r="D2" s="3"/>
      <c r="E2" s="3"/>
      <c r="F2" s="3"/>
      <c r="G2" s="3"/>
      <c r="H2" s="4"/>
    </row>
    <row r="3" spans="2:9" s="1" customFormat="1" ht="16.5" thickBot="1" x14ac:dyDescent="0.3">
      <c r="B3" s="15" t="s">
        <v>0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2</v>
      </c>
      <c r="H3" s="17" t="s">
        <v>1</v>
      </c>
      <c r="I3" s="1">
        <v>50</v>
      </c>
    </row>
    <row r="4" spans="2:9" x14ac:dyDescent="0.25">
      <c r="B4" s="6">
        <v>1</v>
      </c>
      <c r="C4" s="7">
        <v>11.5</v>
      </c>
      <c r="D4" s="7">
        <v>12.3</v>
      </c>
      <c r="E4" s="7">
        <v>12</v>
      </c>
      <c r="F4" s="7">
        <f t="shared" ref="F4:F7" si="0">(C4+D4+E4)/3</f>
        <v>11.933333333333332</v>
      </c>
      <c r="G4" s="7">
        <f>STDEVA(C4:E4)/SQRT(3)</f>
        <v>0.23333333333333353</v>
      </c>
      <c r="H4" s="8"/>
      <c r="I4" t="s">
        <v>4</v>
      </c>
    </row>
    <row r="5" spans="2:9" x14ac:dyDescent="0.25">
      <c r="B5" s="6">
        <v>1.5</v>
      </c>
      <c r="C5" s="7">
        <v>16.7</v>
      </c>
      <c r="D5" s="7">
        <v>17.399999999999999</v>
      </c>
      <c r="E5" s="7">
        <v>17.5</v>
      </c>
      <c r="F5" s="7">
        <f t="shared" si="0"/>
        <v>17.2</v>
      </c>
      <c r="G5" s="7">
        <f t="shared" ref="G5:G32" si="1">STDEVA(C5:E5)/SQRT(3)</f>
        <v>0.25166114784235838</v>
      </c>
      <c r="H5" s="8">
        <f>(F5-F4)/(B5-B4)</f>
        <v>10.533333333333335</v>
      </c>
      <c r="I5">
        <f>(H5-H6)/H5*100</f>
        <v>44.303797468354368</v>
      </c>
    </row>
    <row r="6" spans="2:9" x14ac:dyDescent="0.25">
      <c r="B6" s="6">
        <v>2</v>
      </c>
      <c r="C6" s="7">
        <v>20.3</v>
      </c>
      <c r="D6" s="7">
        <v>19.8</v>
      </c>
      <c r="E6" s="7">
        <v>20.3</v>
      </c>
      <c r="F6" s="7">
        <f t="shared" si="0"/>
        <v>20.133333333333336</v>
      </c>
      <c r="G6" s="7">
        <f t="shared" si="1"/>
        <v>0.16666666666666666</v>
      </c>
      <c r="H6" s="8">
        <f>(F6-F5)/(B6-B5)</f>
        <v>5.8666666666666742</v>
      </c>
      <c r="I6">
        <f t="shared" ref="I6:I10" si="2">(H6-H7)/H6*100</f>
        <v>25.000000000000185</v>
      </c>
    </row>
    <row r="7" spans="2:9" x14ac:dyDescent="0.25">
      <c r="B7" s="6">
        <v>3</v>
      </c>
      <c r="C7" s="7">
        <v>26.1</v>
      </c>
      <c r="D7" s="7">
        <v>23.5</v>
      </c>
      <c r="E7" s="7">
        <v>24</v>
      </c>
      <c r="F7" s="9">
        <f t="shared" si="0"/>
        <v>24.533333333333331</v>
      </c>
      <c r="G7" s="7">
        <f t="shared" si="1"/>
        <v>0.79652020968990178</v>
      </c>
      <c r="H7" s="8">
        <f t="shared" ref="H7:H32" si="3">(F7-F6)/(B7-B6)</f>
        <v>4.399999999999995</v>
      </c>
      <c r="I7">
        <f>(H7-H8)/H7*100</f>
        <v>80.303030303030184</v>
      </c>
    </row>
    <row r="8" spans="2:9" x14ac:dyDescent="0.25">
      <c r="B8" s="6">
        <v>4</v>
      </c>
      <c r="C8" s="7">
        <v>25.7</v>
      </c>
      <c r="D8" s="7">
        <v>25.5</v>
      </c>
      <c r="E8" s="7">
        <v>25</v>
      </c>
      <c r="F8" s="7">
        <f>(C8+D8+E8)/3</f>
        <v>25.400000000000002</v>
      </c>
      <c r="G8" s="7">
        <f t="shared" si="1"/>
        <v>0.2081665999466131</v>
      </c>
      <c r="H8" s="8">
        <f t="shared" si="3"/>
        <v>0.86666666666667069</v>
      </c>
      <c r="I8">
        <f t="shared" si="2"/>
        <v>-9.6153846153840252</v>
      </c>
    </row>
    <row r="9" spans="2:9" x14ac:dyDescent="0.25">
      <c r="B9" s="6">
        <v>6</v>
      </c>
      <c r="C9" s="7">
        <v>27.7</v>
      </c>
      <c r="D9" s="7">
        <v>27.1</v>
      </c>
      <c r="E9" s="7">
        <v>27.1</v>
      </c>
      <c r="F9" s="7">
        <f>(C9+D9+E9)/3</f>
        <v>27.3</v>
      </c>
      <c r="G9" s="7">
        <f t="shared" si="1"/>
        <v>0.19999999999999929</v>
      </c>
      <c r="H9" s="8">
        <f t="shared" si="3"/>
        <v>0.94999999999999929</v>
      </c>
      <c r="I9">
        <f t="shared" si="2"/>
        <v>26.31578947368423</v>
      </c>
    </row>
    <row r="10" spans="2:9" x14ac:dyDescent="0.25">
      <c r="B10" s="6">
        <v>8</v>
      </c>
      <c r="C10" s="7">
        <v>29.2</v>
      </c>
      <c r="D10" s="7">
        <v>28.2</v>
      </c>
      <c r="E10" s="7">
        <v>28.7</v>
      </c>
      <c r="F10" s="7">
        <f>(C10+D10+E10)/3</f>
        <v>28.7</v>
      </c>
      <c r="G10" s="7">
        <f t="shared" si="1"/>
        <v>0.28867513459481292</v>
      </c>
      <c r="H10" s="8">
        <f t="shared" si="3"/>
        <v>0.69999999999999929</v>
      </c>
      <c r="I10">
        <f t="shared" si="2"/>
        <v>76.190476190476247</v>
      </c>
    </row>
    <row r="11" spans="2:9" x14ac:dyDescent="0.25">
      <c r="B11" s="6">
        <v>10</v>
      </c>
      <c r="C11" s="7">
        <v>29.2</v>
      </c>
      <c r="D11" s="7">
        <v>28.7</v>
      </c>
      <c r="E11" s="7">
        <v>29.2</v>
      </c>
      <c r="F11" s="7">
        <f>(C11+D11+E11)/3</f>
        <v>29.033333333333331</v>
      </c>
      <c r="G11" s="7">
        <f t="shared" si="1"/>
        <v>0.16666666666666669</v>
      </c>
      <c r="H11" s="8">
        <f t="shared" si="3"/>
        <v>0.16666666666666607</v>
      </c>
      <c r="I11">
        <f>(H11-H12)/H11*100</f>
        <v>-60.000000000001066</v>
      </c>
    </row>
    <row r="12" spans="2:9" x14ac:dyDescent="0.25">
      <c r="B12" s="6">
        <v>12</v>
      </c>
      <c r="C12" s="7">
        <v>31.8</v>
      </c>
      <c r="D12" s="7">
        <v>29.2</v>
      </c>
      <c r="E12" s="7">
        <v>27.7</v>
      </c>
      <c r="F12" s="7">
        <f>(C12+D12+E12)/3</f>
        <v>29.566666666666666</v>
      </c>
      <c r="G12" s="7">
        <f t="shared" si="1"/>
        <v>1.1976829482147793</v>
      </c>
      <c r="H12" s="8">
        <f t="shared" si="3"/>
        <v>0.2666666666666675</v>
      </c>
    </row>
    <row r="13" spans="2:9" x14ac:dyDescent="0.25">
      <c r="B13" s="6"/>
      <c r="C13" s="7"/>
      <c r="D13" s="7"/>
      <c r="E13" s="7"/>
      <c r="F13" s="7"/>
      <c r="G13" s="7"/>
      <c r="H13" s="8"/>
    </row>
    <row r="14" spans="2:9" x14ac:dyDescent="0.25">
      <c r="B14" s="5" t="s">
        <v>16</v>
      </c>
      <c r="C14" s="10"/>
      <c r="D14" s="10"/>
      <c r="E14" s="10"/>
      <c r="F14" s="10"/>
      <c r="G14" s="10"/>
      <c r="H14" s="11"/>
    </row>
    <row r="15" spans="2:9" s="1" customFormat="1" ht="16.5" thickBot="1" x14ac:dyDescent="0.3">
      <c r="B15" s="15" t="s">
        <v>0</v>
      </c>
      <c r="C15" s="16" t="s">
        <v>12</v>
      </c>
      <c r="D15" s="16" t="s">
        <v>13</v>
      </c>
      <c r="E15" s="16" t="s">
        <v>14</v>
      </c>
      <c r="F15" s="16" t="s">
        <v>15</v>
      </c>
      <c r="G15" s="16" t="s">
        <v>2</v>
      </c>
      <c r="H15" s="17" t="s">
        <v>1</v>
      </c>
      <c r="I15" s="1">
        <v>150</v>
      </c>
    </row>
    <row r="16" spans="2:9" x14ac:dyDescent="0.25">
      <c r="B16" s="6">
        <v>1</v>
      </c>
      <c r="C16" s="7">
        <v>12.7</v>
      </c>
      <c r="D16" s="7">
        <v>12.1</v>
      </c>
      <c r="E16" s="7">
        <v>11.7</v>
      </c>
      <c r="F16" s="7">
        <f>(C16+D16+E16)/3</f>
        <v>12.166666666666666</v>
      </c>
      <c r="G16" s="7">
        <f t="shared" si="1"/>
        <v>0.29059326290271159</v>
      </c>
      <c r="H16" s="8"/>
      <c r="I16" t="s">
        <v>3</v>
      </c>
    </row>
    <row r="17" spans="1:9" x14ac:dyDescent="0.25">
      <c r="B17" s="6">
        <v>2</v>
      </c>
      <c r="C17" s="7">
        <v>24.9</v>
      </c>
      <c r="D17" s="7">
        <v>25</v>
      </c>
      <c r="E17" s="7">
        <v>24.5</v>
      </c>
      <c r="F17" s="7">
        <f t="shared" ref="F17:F23" si="4">(C17+D17+E17)/3</f>
        <v>24.8</v>
      </c>
      <c r="G17" s="7">
        <f t="shared" si="1"/>
        <v>0.15275252316519453</v>
      </c>
      <c r="H17" s="8">
        <f t="shared" si="3"/>
        <v>12.633333333333335</v>
      </c>
      <c r="I17">
        <f>(H17-H18)/H17*100</f>
        <v>10.290237467018489</v>
      </c>
    </row>
    <row r="18" spans="1:9" x14ac:dyDescent="0.25">
      <c r="B18" s="6">
        <v>3</v>
      </c>
      <c r="C18" s="7">
        <v>36</v>
      </c>
      <c r="D18" s="7">
        <v>36</v>
      </c>
      <c r="E18" s="7">
        <v>36.4</v>
      </c>
      <c r="F18" s="7">
        <f t="shared" si="4"/>
        <v>36.133333333333333</v>
      </c>
      <c r="G18" s="7">
        <f t="shared" si="1"/>
        <v>0.13333333333333286</v>
      </c>
      <c r="H18" s="8">
        <f t="shared" si="3"/>
        <v>11.333333333333332</v>
      </c>
      <c r="I18">
        <f t="shared" ref="I18:I22" si="5">(H18-H19)/H18*100</f>
        <v>30.000000000000021</v>
      </c>
    </row>
    <row r="19" spans="1:9" x14ac:dyDescent="0.25">
      <c r="B19" s="6">
        <v>4</v>
      </c>
      <c r="C19" s="7">
        <v>44.3</v>
      </c>
      <c r="D19" s="7">
        <v>43.8</v>
      </c>
      <c r="E19" s="7">
        <v>44.1</v>
      </c>
      <c r="F19" s="7">
        <f t="shared" si="4"/>
        <v>44.066666666666663</v>
      </c>
      <c r="G19" s="7">
        <f t="shared" si="1"/>
        <v>0.14529663145135596</v>
      </c>
      <c r="H19" s="8">
        <f t="shared" si="3"/>
        <v>7.93333333333333</v>
      </c>
      <c r="I19">
        <f t="shared" si="5"/>
        <v>49.789915966386523</v>
      </c>
    </row>
    <row r="20" spans="1:9" x14ac:dyDescent="0.25">
      <c r="B20" s="6">
        <v>6</v>
      </c>
      <c r="C20" s="7">
        <v>51.8</v>
      </c>
      <c r="D20" s="7">
        <v>52.5</v>
      </c>
      <c r="E20" s="7">
        <v>51.8</v>
      </c>
      <c r="F20" s="9">
        <f t="shared" si="4"/>
        <v>52.033333333333331</v>
      </c>
      <c r="G20" s="7">
        <f t="shared" si="1"/>
        <v>0.23333333333333428</v>
      </c>
      <c r="H20" s="8">
        <f t="shared" si="3"/>
        <v>3.9833333333333343</v>
      </c>
      <c r="I20">
        <f t="shared" si="5"/>
        <v>60.669456066945628</v>
      </c>
    </row>
    <row r="21" spans="1:9" x14ac:dyDescent="0.25">
      <c r="B21" s="6">
        <v>8</v>
      </c>
      <c r="C21" s="7">
        <v>55.3</v>
      </c>
      <c r="D21" s="7">
        <v>55.3</v>
      </c>
      <c r="E21" s="7">
        <v>54.9</v>
      </c>
      <c r="F21" s="7">
        <f t="shared" si="4"/>
        <v>55.166666666666664</v>
      </c>
      <c r="G21" s="7">
        <f t="shared" si="1"/>
        <v>0.13333333333333286</v>
      </c>
      <c r="H21" s="8">
        <f t="shared" si="3"/>
        <v>1.5666666666666664</v>
      </c>
      <c r="I21">
        <f t="shared" si="5"/>
        <v>34.042553191489475</v>
      </c>
    </row>
    <row r="22" spans="1:9" x14ac:dyDescent="0.25">
      <c r="B22" s="6">
        <v>10</v>
      </c>
      <c r="C22" s="7">
        <v>58.4</v>
      </c>
      <c r="D22" s="7">
        <v>57.4</v>
      </c>
      <c r="E22" s="7">
        <v>55.9</v>
      </c>
      <c r="F22" s="7">
        <f t="shared" si="4"/>
        <v>57.233333333333327</v>
      </c>
      <c r="G22" s="7">
        <f t="shared" si="1"/>
        <v>0.72648315725677903</v>
      </c>
      <c r="H22" s="8">
        <f t="shared" si="3"/>
        <v>1.0333333333333314</v>
      </c>
      <c r="I22">
        <f t="shared" si="5"/>
        <v>33.870967741934997</v>
      </c>
    </row>
    <row r="23" spans="1:9" x14ac:dyDescent="0.25">
      <c r="A23" s="10"/>
      <c r="B23" s="6">
        <v>12</v>
      </c>
      <c r="C23" s="7">
        <v>59</v>
      </c>
      <c r="D23" s="7">
        <v>57.8</v>
      </c>
      <c r="E23" s="7">
        <v>59</v>
      </c>
      <c r="F23" s="7">
        <f t="shared" si="4"/>
        <v>58.6</v>
      </c>
      <c r="G23" s="7">
        <f t="shared" si="1"/>
        <v>0.40000000000000091</v>
      </c>
      <c r="H23" s="8">
        <f t="shared" si="3"/>
        <v>0.68333333333333712</v>
      </c>
    </row>
    <row r="24" spans="1:9" x14ac:dyDescent="0.25">
      <c r="A24" s="10"/>
      <c r="B24" s="6"/>
      <c r="C24" s="7"/>
      <c r="D24" s="7"/>
      <c r="E24" s="7"/>
      <c r="F24" s="7"/>
      <c r="G24" s="7"/>
      <c r="H24" s="8"/>
    </row>
    <row r="25" spans="1:9" x14ac:dyDescent="0.25">
      <c r="A25" s="10"/>
      <c r="B25" s="5" t="s">
        <v>17</v>
      </c>
      <c r="C25" s="10"/>
      <c r="D25" s="10"/>
      <c r="E25" s="10"/>
      <c r="F25" s="10"/>
      <c r="G25" s="10"/>
      <c r="H25" s="11"/>
    </row>
    <row r="26" spans="1:9" s="1" customFormat="1" ht="16.5" thickBot="1" x14ac:dyDescent="0.3">
      <c r="A26" s="18"/>
      <c r="B26" s="15" t="s">
        <v>0</v>
      </c>
      <c r="C26" s="16" t="s">
        <v>12</v>
      </c>
      <c r="D26" s="16" t="s">
        <v>13</v>
      </c>
      <c r="E26" s="16" t="s">
        <v>14</v>
      </c>
      <c r="F26" s="16" t="s">
        <v>15</v>
      </c>
      <c r="G26" s="16" t="s">
        <v>2</v>
      </c>
      <c r="H26" s="17" t="s">
        <v>1</v>
      </c>
      <c r="I26" s="1">
        <v>250</v>
      </c>
    </row>
    <row r="27" spans="1:9" x14ac:dyDescent="0.25">
      <c r="B27" s="6">
        <v>2</v>
      </c>
      <c r="C27" s="7">
        <v>25.6</v>
      </c>
      <c r="D27" s="7">
        <v>26.7</v>
      </c>
      <c r="E27" s="7">
        <v>27.7</v>
      </c>
      <c r="F27" s="7">
        <f>(C27+D27+E27)/3</f>
        <v>26.666666666666668</v>
      </c>
      <c r="G27" s="7">
        <f t="shared" si="1"/>
        <v>0.60644684662200787</v>
      </c>
      <c r="H27" s="8"/>
      <c r="I27" t="s">
        <v>3</v>
      </c>
    </row>
    <row r="28" spans="1:9" x14ac:dyDescent="0.25">
      <c r="B28" s="6">
        <v>4</v>
      </c>
      <c r="C28" s="7">
        <v>50.1</v>
      </c>
      <c r="D28" s="7">
        <v>49.6</v>
      </c>
      <c r="E28" s="7">
        <v>49.3</v>
      </c>
      <c r="F28" s="7">
        <f t="shared" ref="F28:F32" si="6">(C28+D28+E28)/3</f>
        <v>49.666666666666664</v>
      </c>
      <c r="G28" s="7">
        <f t="shared" si="1"/>
        <v>0.23333333333333445</v>
      </c>
      <c r="H28" s="8">
        <f t="shared" si="3"/>
        <v>11.499999999999998</v>
      </c>
      <c r="I28">
        <f>(H28-H29)/H28*100</f>
        <v>37.681159420289831</v>
      </c>
    </row>
    <row r="29" spans="1:9" x14ac:dyDescent="0.25">
      <c r="B29" s="6">
        <v>6</v>
      </c>
      <c r="C29" s="7">
        <v>63.7</v>
      </c>
      <c r="D29" s="7">
        <v>64.2</v>
      </c>
      <c r="E29" s="7">
        <v>64.099999999999994</v>
      </c>
      <c r="F29" s="7">
        <f t="shared" si="6"/>
        <v>64</v>
      </c>
      <c r="G29" s="7">
        <f t="shared" si="1"/>
        <v>0.15275252316519375</v>
      </c>
      <c r="H29" s="8">
        <f t="shared" si="3"/>
        <v>7.1666666666666679</v>
      </c>
      <c r="I29">
        <f t="shared" ref="I29:I31" si="7">(H29-H30)/H29*100</f>
        <v>47.441860465116399</v>
      </c>
    </row>
    <row r="30" spans="1:9" x14ac:dyDescent="0.25">
      <c r="B30" s="6">
        <v>8</v>
      </c>
      <c r="C30" s="7">
        <v>71.099999999999994</v>
      </c>
      <c r="D30" s="7">
        <v>70.8</v>
      </c>
      <c r="E30" s="7">
        <v>72.7</v>
      </c>
      <c r="F30" s="7">
        <f t="shared" si="6"/>
        <v>71.533333333333317</v>
      </c>
      <c r="G30" s="7">
        <f t="shared" si="1"/>
        <v>0.58972686709847344</v>
      </c>
      <c r="H30" s="8">
        <f t="shared" si="3"/>
        <v>3.7666666666666586</v>
      </c>
      <c r="I30">
        <f t="shared" si="7"/>
        <v>49.115044247787374</v>
      </c>
    </row>
    <row r="31" spans="1:9" x14ac:dyDescent="0.25">
      <c r="B31" s="6">
        <v>10</v>
      </c>
      <c r="C31" s="7">
        <v>75.099999999999994</v>
      </c>
      <c r="D31" s="7">
        <v>76.400000000000006</v>
      </c>
      <c r="E31" s="7">
        <v>74.599999999999994</v>
      </c>
      <c r="F31" s="9">
        <f t="shared" si="6"/>
        <v>75.36666666666666</v>
      </c>
      <c r="G31" s="7">
        <f t="shared" si="1"/>
        <v>0.53644923131437305</v>
      </c>
      <c r="H31" s="8">
        <f t="shared" si="3"/>
        <v>1.9166666666666714</v>
      </c>
      <c r="I31">
        <f t="shared" si="7"/>
        <v>78.260869565217192</v>
      </c>
    </row>
    <row r="32" spans="1:9" ht="16.5" thickBot="1" x14ac:dyDescent="0.3">
      <c r="B32" s="12">
        <v>12</v>
      </c>
      <c r="C32" s="13">
        <v>75.7</v>
      </c>
      <c r="D32" s="13">
        <v>76.5</v>
      </c>
      <c r="E32" s="13">
        <v>76.400000000000006</v>
      </c>
      <c r="F32" s="13">
        <f t="shared" si="6"/>
        <v>76.2</v>
      </c>
      <c r="G32" s="13">
        <f t="shared" si="1"/>
        <v>0.25166114784235816</v>
      </c>
      <c r="H32" s="14">
        <f t="shared" si="3"/>
        <v>0.4166666666666714</v>
      </c>
    </row>
    <row r="33" spans="1:8" x14ac:dyDescent="0.25">
      <c r="A33" s="10"/>
      <c r="B33" s="3"/>
      <c r="C33" s="3"/>
      <c r="D33" s="3"/>
      <c r="E33" s="3"/>
      <c r="F33" s="3"/>
      <c r="G33" s="3"/>
      <c r="H33" s="3"/>
    </row>
    <row r="34" spans="1:8" x14ac:dyDescent="0.25">
      <c r="B34" t="s">
        <v>9</v>
      </c>
    </row>
    <row r="35" spans="1:8" x14ac:dyDescent="0.25">
      <c r="B35" t="s">
        <v>8</v>
      </c>
      <c r="C35" t="s">
        <v>5</v>
      </c>
      <c r="D35" t="s">
        <v>6</v>
      </c>
      <c r="E35" t="s">
        <v>7</v>
      </c>
    </row>
    <row r="36" spans="1:8" x14ac:dyDescent="0.25">
      <c r="B36" t="s">
        <v>5</v>
      </c>
      <c r="C36">
        <v>1</v>
      </c>
      <c r="D36">
        <f>1/(F7/F20)</f>
        <v>2.120923913043478</v>
      </c>
      <c r="E36">
        <f>1/(F7/F31)</f>
        <v>3.0720108695652173</v>
      </c>
    </row>
    <row r="37" spans="1:8" x14ac:dyDescent="0.25">
      <c r="B37" t="s">
        <v>6</v>
      </c>
      <c r="D37">
        <v>1</v>
      </c>
      <c r="E37">
        <f>1/(F20/F31)</f>
        <v>1.4484304932735423</v>
      </c>
    </row>
    <row r="38" spans="1:8" x14ac:dyDescent="0.25">
      <c r="B38" t="s">
        <v>7</v>
      </c>
      <c r="E38">
        <v>1</v>
      </c>
    </row>
    <row r="40" spans="1:8" x14ac:dyDescent="0.25">
      <c r="B40" t="s">
        <v>10</v>
      </c>
    </row>
    <row r="41" spans="1:8" x14ac:dyDescent="0.25">
      <c r="B41" t="s">
        <v>8</v>
      </c>
      <c r="C41" t="s">
        <v>5</v>
      </c>
      <c r="D41" t="s">
        <v>6</v>
      </c>
      <c r="E41" t="s">
        <v>7</v>
      </c>
    </row>
    <row r="42" spans="1:8" x14ac:dyDescent="0.25">
      <c r="B42" t="s">
        <v>5</v>
      </c>
      <c r="C42">
        <v>1</v>
      </c>
      <c r="D42">
        <f>(50/F7)/(I15/F20)</f>
        <v>0.70697463768115942</v>
      </c>
      <c r="E42">
        <f>(I3/F7)/(I26/F31)</f>
        <v>0.61440217391304341</v>
      </c>
    </row>
    <row r="43" spans="1:8" x14ac:dyDescent="0.25">
      <c r="B43" t="s">
        <v>6</v>
      </c>
      <c r="D43">
        <v>1</v>
      </c>
      <c r="E43">
        <f>(I15/F20)/(I26/F31)</f>
        <v>0.86905829596412554</v>
      </c>
    </row>
    <row r="44" spans="1:8" x14ac:dyDescent="0.25">
      <c r="B44" t="s">
        <v>7</v>
      </c>
      <c r="E44">
        <v>1</v>
      </c>
    </row>
  </sheetData>
  <pageMargins left="0.7" right="0.7" top="0.75" bottom="0.75" header="0.3" footer="0.3"/>
  <ignoredErrors>
    <ignoredError sqref="G4:G12 G16:G23 G27:G3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 vs. Filtrate 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</cp:lastModifiedBy>
  <dcterms:created xsi:type="dcterms:W3CDTF">2018-10-17T19:14:06Z</dcterms:created>
  <dcterms:modified xsi:type="dcterms:W3CDTF">2018-12-02T16:28:27Z</dcterms:modified>
</cp:coreProperties>
</file>
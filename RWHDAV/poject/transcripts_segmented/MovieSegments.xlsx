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-21645" yWindow="885" windowWidth="18225" windowHeight="14820" tabRatio="563" activeTab="1"/>
  </bookViews>
  <sheets>
    <sheet name="SD_SL1" sheetId="1" r:id="rId1"/>
    <sheet name="SD_SL2" sheetId="3" r:id="rId2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3" i="3"/>
  <c r="F23" i="3"/>
  <c r="E24" i="3"/>
  <c r="F24" i="3"/>
  <c r="F22" i="3"/>
  <c r="E2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F2" i="1"/>
  <c r="E2" i="1"/>
  <c r="E2" i="3"/>
  <c r="F2" i="3"/>
</calcChain>
</file>

<file path=xl/sharedStrings.xml><?xml version="1.0" encoding="utf-8"?>
<sst xmlns="http://schemas.openxmlformats.org/spreadsheetml/2006/main" count="62" uniqueCount="56">
  <si>
    <t>time</t>
  </si>
  <si>
    <t>title</t>
  </si>
  <si>
    <t>Cartoon</t>
  </si>
  <si>
    <t>start time</t>
  </si>
  <si>
    <t>end time</t>
  </si>
  <si>
    <t>War scene</t>
  </si>
  <si>
    <t>Watson wake-up</t>
  </si>
  <si>
    <t>Watson morning</t>
  </si>
  <si>
    <t>Watson psychiatrist</t>
  </si>
  <si>
    <t>Intro music</t>
  </si>
  <si>
    <t>Get a cab discussion</t>
  </si>
  <si>
    <t>Poison vial</t>
  </si>
  <si>
    <t>Press conference</t>
  </si>
  <si>
    <t xml:space="preserve">Teens in rain  </t>
  </si>
  <si>
    <t>Poison vial # 2</t>
  </si>
  <si>
    <t>Poison vial # 3</t>
  </si>
  <si>
    <t>Police press conference</t>
  </si>
  <si>
    <t>Park run in</t>
  </si>
  <si>
    <t>Lab flirting</t>
  </si>
  <si>
    <t>Watson and SH meet</t>
  </si>
  <si>
    <t>Watson looks up holmes</t>
  </si>
  <si>
    <t>Poison vial # 4</t>
  </si>
  <si>
    <t>Flat exploration</t>
  </si>
  <si>
    <t>Science of deduction conversation</t>
  </si>
  <si>
    <t>Suicides in news</t>
  </si>
  <si>
    <t>"4th suicide"</t>
  </si>
  <si>
    <t>Gay couple?</t>
  </si>
  <si>
    <t>Watson joins in</t>
  </si>
  <si>
    <t>Questions</t>
  </si>
  <si>
    <t>Harry short for Harriet</t>
  </si>
  <si>
    <t>Sally didn't make it home</t>
  </si>
  <si>
    <t>Crime scene intro</t>
  </si>
  <si>
    <t>Crime scene</t>
  </si>
  <si>
    <t>Results</t>
  </si>
  <si>
    <t>SH conclusion</t>
  </si>
  <si>
    <t>Where's the suitcase??</t>
  </si>
  <si>
    <t>Watch out for SH</t>
  </si>
  <si>
    <t>Phonebooth ringing</t>
  </si>
  <si>
    <t>Mystery car ride</t>
  </si>
  <si>
    <t>Watson rejects offer</t>
  </si>
  <si>
    <t>Left hand</t>
  </si>
  <si>
    <t>Ride back</t>
  </si>
  <si>
    <t>Watson's gun</t>
  </si>
  <si>
    <t>Free time?</t>
  </si>
  <si>
    <t>3 patch problem</t>
  </si>
  <si>
    <t>Text the number</t>
  </si>
  <si>
    <t>Just met a friend of yours</t>
  </si>
  <si>
    <t>The number</t>
  </si>
  <si>
    <t>The pink suitcase</t>
  </si>
  <si>
    <t>Mystery meeting</t>
  </si>
  <si>
    <t>Her Phone</t>
  </si>
  <si>
    <t>Leaving</t>
  </si>
  <si>
    <t>event number</t>
  </si>
  <si>
    <t>start time sec</t>
  </si>
  <si>
    <t>end time sec</t>
  </si>
  <si>
    <t>Watson's 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</si>
</sst>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6" formatCode="[h]:mm:ss;@"/>
  </numFmts>
  <fonts count="9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scheme val="minor"/>
    </font>
    <font>
      <sz val="14"/>
      <color rgb="FFFF0000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4" fillId="0" borderId="0" xfId="0" applyFont="1"/>
    <xf numFmtId="164" fontId="4" fillId="0" borderId="0" xfId="0" applyNumberFormat="1" applyFont="1"/>
    <xf numFmtId="164" fontId="1" fillId="0" borderId="0" xfId="0" applyNumberFormat="1" applyFont="1"/>
    <xf numFmtId="49" fontId="0" fillId="0" borderId="0" xfId="0" applyNumberFormat="1"/>
    <xf numFmtId="20" fontId="1" fillId="0" borderId="0" xfId="0" applyNumberFormat="1" applyFont="1"/>
    <xf numFmtId="20" fontId="0" fillId="0" borderId="0" xfId="0" applyNumberFormat="1"/>
    <xf numFmtId="0" fontId="5" fillId="0" borderId="0" xfId="0" applyFont="1"/>
    <xf numFmtId="2" fontId="1" fillId="0" borderId="0" xfId="0" applyNumberFormat="1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166" fontId="5" fillId="0" borderId="0" xfId="0" applyNumberFormat="1" applyFont="1"/>
    <xf numFmtId="166" fontId="8" fillId="0" borderId="0" xfId="0" applyNumberFormat="1" applyFont="1"/>
    <xf numFmtId="164" fontId="1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zoomScale="125" zoomScaleNormal="125" zoomScalePageLayoutView="125" workbookViewId="0">
      <selection activeCell="D5" sqref="D5"/>
    </sheetView>
  </sheetViews>
  <sheetFormatPr defaultColWidth="10.875" defaultRowHeight="18.75" x14ac:dyDescent="0.3"/>
  <cols>
    <col min="1" max="1" width="14.875" style="1" customWidth="1"/>
    <col min="2" max="2" width="24" style="1" customWidth="1"/>
    <col min="3" max="3" width="10.875" style="4"/>
    <col min="4" max="4" width="10.875" style="16"/>
    <col min="5" max="5" width="14.375" style="9" customWidth="1"/>
    <col min="6" max="6" width="17.875" style="9" customWidth="1"/>
    <col min="8" max="16384" width="10.875" style="1"/>
  </cols>
  <sheetData>
    <row r="1" spans="1:6" s="2" customFormat="1" x14ac:dyDescent="0.3">
      <c r="A1" s="10" t="s">
        <v>52</v>
      </c>
      <c r="B1" s="2" t="s">
        <v>1</v>
      </c>
      <c r="C1" s="3" t="s">
        <v>3</v>
      </c>
      <c r="D1" s="17" t="s">
        <v>4</v>
      </c>
      <c r="E1" s="12" t="s">
        <v>53</v>
      </c>
      <c r="F1" s="12" t="s">
        <v>54</v>
      </c>
    </row>
    <row r="2" spans="1:6" x14ac:dyDescent="0.3">
      <c r="A2" s="1">
        <v>1</v>
      </c>
      <c r="B2" s="1" t="s">
        <v>2</v>
      </c>
      <c r="C2" s="4">
        <v>0</v>
      </c>
      <c r="D2" s="16">
        <v>2.7083333333333334E-2</v>
      </c>
      <c r="E2" s="9">
        <f>(C2-INT(C2))*24*60</f>
        <v>0</v>
      </c>
      <c r="F2" s="9">
        <f>(D2-INT(D2))*24*60</f>
        <v>39</v>
      </c>
    </row>
    <row r="3" spans="1:6" x14ac:dyDescent="0.3">
      <c r="A3" s="1">
        <v>2</v>
      </c>
      <c r="B3" s="1" t="s">
        <v>5</v>
      </c>
      <c r="C3" s="4">
        <v>2.7083333333333334E-2</v>
      </c>
      <c r="D3" s="16">
        <v>3.6805555555555557E-2</v>
      </c>
      <c r="E3" s="9">
        <f t="shared" ref="E3:E28" si="0">(C3-INT(C3))*24*60</f>
        <v>39</v>
      </c>
      <c r="F3" s="9">
        <f t="shared" ref="F3:F28" si="1">(D3-INT(D3))*24*60</f>
        <v>53</v>
      </c>
    </row>
    <row r="4" spans="1:6" x14ac:dyDescent="0.3">
      <c r="A4" s="1">
        <v>3</v>
      </c>
      <c r="B4" s="1" t="s">
        <v>6</v>
      </c>
      <c r="C4" s="4">
        <v>3.6805555555555557E-2</v>
      </c>
      <c r="D4" s="16">
        <v>5.7638888888888885E-2</v>
      </c>
      <c r="E4" s="9">
        <f t="shared" si="0"/>
        <v>53</v>
      </c>
      <c r="F4" s="9">
        <f t="shared" si="1"/>
        <v>83</v>
      </c>
    </row>
    <row r="5" spans="1:6" x14ac:dyDescent="0.3">
      <c r="A5" s="1">
        <v>4</v>
      </c>
      <c r="B5" s="1" t="s">
        <v>7</v>
      </c>
      <c r="C5" s="4">
        <v>5.7638888888888885E-2</v>
      </c>
      <c r="D5" s="16">
        <v>8.9583333333333334E-2</v>
      </c>
      <c r="E5" s="9">
        <f t="shared" si="0"/>
        <v>83</v>
      </c>
      <c r="F5" s="9">
        <f t="shared" si="1"/>
        <v>129</v>
      </c>
    </row>
    <row r="6" spans="1:6" x14ac:dyDescent="0.3">
      <c r="A6" s="1">
        <v>5</v>
      </c>
      <c r="B6" s="1" t="s">
        <v>8</v>
      </c>
      <c r="C6" s="4">
        <v>9.0277777777777776E-2</v>
      </c>
      <c r="D6" s="16">
        <v>0.11388888888888889</v>
      </c>
      <c r="E6" s="9">
        <f t="shared" si="0"/>
        <v>130</v>
      </c>
      <c r="F6" s="9">
        <f t="shared" si="1"/>
        <v>164</v>
      </c>
    </row>
    <row r="7" spans="1:6" x14ac:dyDescent="0.3">
      <c r="A7" s="1">
        <v>6</v>
      </c>
      <c r="B7" s="1" t="s">
        <v>9</v>
      </c>
      <c r="C7" s="4">
        <v>0.11388888888888889</v>
      </c>
      <c r="D7" s="16">
        <v>0.13541666666666666</v>
      </c>
      <c r="E7" s="9">
        <f t="shared" si="0"/>
        <v>164</v>
      </c>
      <c r="F7" s="9">
        <f t="shared" si="1"/>
        <v>195</v>
      </c>
    </row>
    <row r="8" spans="1:6" x14ac:dyDescent="0.3">
      <c r="A8" s="1">
        <v>7</v>
      </c>
      <c r="B8" s="1" t="s">
        <v>10</v>
      </c>
      <c r="C8" s="4">
        <v>0.1361111111111111</v>
      </c>
      <c r="D8" s="16">
        <v>0.14861111111111111</v>
      </c>
      <c r="E8" s="9">
        <f t="shared" si="0"/>
        <v>196</v>
      </c>
      <c r="F8" s="9">
        <f t="shared" si="1"/>
        <v>214</v>
      </c>
    </row>
    <row r="9" spans="1:6" x14ac:dyDescent="0.3">
      <c r="A9" s="1">
        <v>8</v>
      </c>
      <c r="B9" s="1" t="s">
        <v>11</v>
      </c>
      <c r="C9" s="4">
        <v>0.15</v>
      </c>
      <c r="D9" s="16">
        <v>0.16388888888888889</v>
      </c>
      <c r="E9" s="9">
        <f t="shared" si="0"/>
        <v>215.99999999999997</v>
      </c>
      <c r="F9" s="9">
        <f t="shared" si="1"/>
        <v>236</v>
      </c>
    </row>
    <row r="10" spans="1:6" x14ac:dyDescent="0.3">
      <c r="A10" s="1">
        <v>9</v>
      </c>
      <c r="B10" s="1" t="s">
        <v>12</v>
      </c>
      <c r="C10" s="4">
        <v>0.16388888888888889</v>
      </c>
      <c r="D10" s="16">
        <v>0.17916666666666667</v>
      </c>
      <c r="E10" s="9">
        <f t="shared" si="0"/>
        <v>236</v>
      </c>
      <c r="F10" s="9">
        <f t="shared" si="1"/>
        <v>258</v>
      </c>
    </row>
    <row r="11" spans="1:6" x14ac:dyDescent="0.3">
      <c r="A11" s="1">
        <v>10</v>
      </c>
      <c r="B11" s="1" t="s">
        <v>13</v>
      </c>
      <c r="C11" s="4">
        <v>0.17986111111111111</v>
      </c>
      <c r="D11" s="16">
        <v>0.19999999999999998</v>
      </c>
      <c r="E11" s="9">
        <f t="shared" si="0"/>
        <v>259</v>
      </c>
      <c r="F11" s="9">
        <f t="shared" si="1"/>
        <v>288</v>
      </c>
    </row>
    <row r="12" spans="1:6" x14ac:dyDescent="0.3">
      <c r="A12" s="1">
        <v>11</v>
      </c>
      <c r="B12" s="1" t="s">
        <v>14</v>
      </c>
      <c r="C12" s="4">
        <v>0.20069444444444443</v>
      </c>
      <c r="D12" s="16">
        <v>0.21180555555555555</v>
      </c>
      <c r="E12" s="9">
        <f t="shared" si="0"/>
        <v>289</v>
      </c>
      <c r="F12" s="9">
        <f t="shared" si="1"/>
        <v>305</v>
      </c>
    </row>
    <row r="13" spans="1:6" x14ac:dyDescent="0.3">
      <c r="A13" s="1">
        <v>12</v>
      </c>
      <c r="B13" s="1" t="s">
        <v>15</v>
      </c>
      <c r="C13" s="4">
        <v>0.21319444444444444</v>
      </c>
      <c r="D13" s="16">
        <v>0.23472222222222219</v>
      </c>
      <c r="E13" s="9">
        <f t="shared" si="0"/>
        <v>307</v>
      </c>
      <c r="F13" s="9">
        <f t="shared" si="1"/>
        <v>338</v>
      </c>
    </row>
    <row r="14" spans="1:6" x14ac:dyDescent="0.3">
      <c r="A14" s="1">
        <v>13</v>
      </c>
      <c r="B14" s="1" t="s">
        <v>16</v>
      </c>
      <c r="C14" s="4">
        <v>0.23541666666666669</v>
      </c>
      <c r="D14" s="16">
        <v>0.3263888888888889</v>
      </c>
      <c r="E14" s="9">
        <f t="shared" si="0"/>
        <v>339</v>
      </c>
      <c r="F14" s="9">
        <f t="shared" si="1"/>
        <v>470.00000000000006</v>
      </c>
    </row>
    <row r="15" spans="1:6" x14ac:dyDescent="0.3">
      <c r="A15" s="1">
        <v>14</v>
      </c>
      <c r="B15" s="1" t="s">
        <v>17</v>
      </c>
      <c r="C15" s="4">
        <v>0.32708333333333334</v>
      </c>
      <c r="D15" s="16">
        <v>0.37638888888888888</v>
      </c>
      <c r="E15" s="9">
        <f t="shared" si="0"/>
        <v>471</v>
      </c>
      <c r="F15" s="9">
        <f t="shared" si="1"/>
        <v>542</v>
      </c>
    </row>
    <row r="16" spans="1:6" x14ac:dyDescent="0.3">
      <c r="A16" s="1">
        <v>15</v>
      </c>
      <c r="B16" s="1" t="s">
        <v>18</v>
      </c>
      <c r="C16" s="4">
        <v>0.37777777777777777</v>
      </c>
      <c r="D16" s="16">
        <v>0.4152777777777778</v>
      </c>
      <c r="E16" s="9">
        <f t="shared" si="0"/>
        <v>544</v>
      </c>
      <c r="F16" s="9">
        <f t="shared" si="1"/>
        <v>598</v>
      </c>
    </row>
    <row r="17" spans="1:9" x14ac:dyDescent="0.3">
      <c r="A17" s="1">
        <v>16</v>
      </c>
      <c r="B17" s="1" t="s">
        <v>19</v>
      </c>
      <c r="C17" s="4">
        <v>0.41597222222222219</v>
      </c>
      <c r="D17" s="16">
        <v>0.52430555555555558</v>
      </c>
      <c r="E17" s="9">
        <f t="shared" si="0"/>
        <v>599</v>
      </c>
      <c r="F17" s="9">
        <f t="shared" si="1"/>
        <v>755</v>
      </c>
    </row>
    <row r="18" spans="1:9" x14ac:dyDescent="0.3">
      <c r="A18" s="1">
        <v>17</v>
      </c>
      <c r="B18" s="1" t="s">
        <v>20</v>
      </c>
      <c r="C18" s="4">
        <v>0.52777777777777779</v>
      </c>
      <c r="D18" s="16">
        <v>0.54722222222222217</v>
      </c>
      <c r="E18" s="9">
        <f t="shared" si="0"/>
        <v>760.00000000000011</v>
      </c>
      <c r="F18" s="9">
        <f t="shared" si="1"/>
        <v>788</v>
      </c>
    </row>
    <row r="19" spans="1:9" x14ac:dyDescent="0.3">
      <c r="A19" s="1">
        <v>18</v>
      </c>
      <c r="B19" s="1" t="s">
        <v>21</v>
      </c>
      <c r="C19" s="4">
        <v>0.54791666666666672</v>
      </c>
      <c r="D19" s="16">
        <v>0.55625000000000002</v>
      </c>
      <c r="E19" s="9">
        <f t="shared" si="0"/>
        <v>789.00000000000011</v>
      </c>
      <c r="F19" s="9">
        <f t="shared" si="1"/>
        <v>801.00000000000011</v>
      </c>
    </row>
    <row r="20" spans="1:9" x14ac:dyDescent="0.3">
      <c r="A20" s="1">
        <v>19</v>
      </c>
      <c r="B20" s="1" t="s">
        <v>22</v>
      </c>
      <c r="C20" s="4">
        <v>0.55694444444444446</v>
      </c>
      <c r="D20" s="16">
        <v>0.64027777777777783</v>
      </c>
      <c r="E20" s="9">
        <f t="shared" si="0"/>
        <v>802</v>
      </c>
      <c r="F20" s="9">
        <f t="shared" si="1"/>
        <v>922</v>
      </c>
    </row>
    <row r="21" spans="1:9" x14ac:dyDescent="0.3">
      <c r="A21" s="1">
        <v>20</v>
      </c>
      <c r="B21" s="1" t="s">
        <v>23</v>
      </c>
      <c r="C21" s="4">
        <v>0.64097222222222217</v>
      </c>
      <c r="D21" s="16">
        <v>0.65972222222222221</v>
      </c>
      <c r="E21" s="9">
        <f t="shared" si="0"/>
        <v>923</v>
      </c>
      <c r="F21" s="9">
        <f t="shared" si="1"/>
        <v>949.99999999999989</v>
      </c>
    </row>
    <row r="22" spans="1:9" x14ac:dyDescent="0.3">
      <c r="A22" s="1">
        <v>21</v>
      </c>
      <c r="B22" s="1" t="s">
        <v>24</v>
      </c>
      <c r="C22" s="4">
        <v>0.66041666666666665</v>
      </c>
      <c r="D22" s="16">
        <v>0.66805555555555562</v>
      </c>
      <c r="E22" s="9">
        <f t="shared" si="0"/>
        <v>951</v>
      </c>
      <c r="F22" s="9">
        <f t="shared" si="1"/>
        <v>962.00000000000011</v>
      </c>
    </row>
    <row r="23" spans="1:9" x14ac:dyDescent="0.3">
      <c r="A23" s="1">
        <v>22</v>
      </c>
      <c r="B23" s="1" t="s">
        <v>25</v>
      </c>
      <c r="C23" s="4">
        <v>0.66875000000000007</v>
      </c>
      <c r="D23" s="16">
        <v>0.70694444444444438</v>
      </c>
      <c r="E23" s="9">
        <f t="shared" si="0"/>
        <v>963</v>
      </c>
      <c r="F23" s="9">
        <f t="shared" si="1"/>
        <v>1017.9999999999999</v>
      </c>
    </row>
    <row r="24" spans="1:9" x14ac:dyDescent="0.3">
      <c r="A24" s="1">
        <v>23</v>
      </c>
      <c r="B24" s="1" t="s">
        <v>26</v>
      </c>
      <c r="C24" s="4">
        <v>0.70763888888888893</v>
      </c>
      <c r="D24" s="16">
        <v>0.72638888888888886</v>
      </c>
      <c r="E24" s="9">
        <f t="shared" si="0"/>
        <v>1019</v>
      </c>
      <c r="F24" s="9">
        <f t="shared" si="1"/>
        <v>1046</v>
      </c>
    </row>
    <row r="25" spans="1:9" x14ac:dyDescent="0.3">
      <c r="A25" s="1">
        <v>24</v>
      </c>
      <c r="B25" s="1" t="s">
        <v>27</v>
      </c>
      <c r="C25" s="4">
        <v>0.72777777777777775</v>
      </c>
      <c r="D25" s="16">
        <v>0.77847222222222223</v>
      </c>
      <c r="E25" s="9">
        <f t="shared" si="0"/>
        <v>1048</v>
      </c>
      <c r="F25" s="9">
        <f t="shared" si="1"/>
        <v>1121</v>
      </c>
      <c r="I25" s="6"/>
    </row>
    <row r="26" spans="1:9" x14ac:dyDescent="0.3">
      <c r="A26" s="1">
        <v>25</v>
      </c>
      <c r="B26" s="1" t="s">
        <v>28</v>
      </c>
      <c r="C26" s="4">
        <v>0.77916666666666667</v>
      </c>
      <c r="D26" s="16">
        <v>0.90416666666666667</v>
      </c>
      <c r="E26" s="9">
        <f t="shared" si="0"/>
        <v>1122</v>
      </c>
      <c r="F26" s="9">
        <f t="shared" si="1"/>
        <v>1302</v>
      </c>
      <c r="H26" s="6"/>
    </row>
    <row r="27" spans="1:9" x14ac:dyDescent="0.3">
      <c r="A27" s="1">
        <v>26</v>
      </c>
      <c r="B27" s="1" t="s">
        <v>29</v>
      </c>
      <c r="C27" s="4">
        <v>0.90833333333333333</v>
      </c>
      <c r="D27" s="16">
        <v>0.9277777777777777</v>
      </c>
      <c r="E27" s="9">
        <f t="shared" si="0"/>
        <v>1308</v>
      </c>
      <c r="F27" s="9">
        <f t="shared" si="1"/>
        <v>1336</v>
      </c>
    </row>
    <row r="28" spans="1:9" x14ac:dyDescent="0.3">
      <c r="A28" s="1">
        <v>27</v>
      </c>
      <c r="B28" s="1" t="s">
        <v>30</v>
      </c>
      <c r="C28" s="4">
        <v>0.92847222222222225</v>
      </c>
      <c r="D28" s="16">
        <v>0.98472222222222217</v>
      </c>
      <c r="E28" s="9">
        <f t="shared" si="0"/>
        <v>1337</v>
      </c>
      <c r="F28" s="9">
        <f t="shared" si="1"/>
        <v>1418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125" zoomScaleNormal="125" zoomScalePageLayoutView="125" workbookViewId="0">
      <selection activeCell="B7" sqref="B7"/>
    </sheetView>
  </sheetViews>
  <sheetFormatPr defaultColWidth="11" defaultRowHeight="18.75" x14ac:dyDescent="0.3"/>
  <cols>
    <col min="1" max="1" width="15" style="13" customWidth="1"/>
    <col min="2" max="2" width="27.125" style="1" customWidth="1"/>
    <col min="3" max="4" width="13.75" style="4" bestFit="1" customWidth="1"/>
    <col min="5" max="5" width="14.875" style="9" bestFit="1" customWidth="1"/>
    <col min="6" max="6" width="13.875" style="9" bestFit="1" customWidth="1"/>
  </cols>
  <sheetData>
    <row r="1" spans="1:8" s="10" customFormat="1" x14ac:dyDescent="0.3">
      <c r="A1" s="10" t="s">
        <v>52</v>
      </c>
      <c r="B1" s="10" t="s">
        <v>1</v>
      </c>
      <c r="C1" s="11" t="s">
        <v>0</v>
      </c>
      <c r="D1" s="11" t="s">
        <v>4</v>
      </c>
      <c r="E1" s="12" t="s">
        <v>53</v>
      </c>
      <c r="F1" s="12" t="s">
        <v>54</v>
      </c>
    </row>
    <row r="2" spans="1:8" x14ac:dyDescent="0.3">
      <c r="A2" s="13">
        <v>28</v>
      </c>
      <c r="B2" s="1" t="s">
        <v>2</v>
      </c>
      <c r="C2" s="4">
        <v>0</v>
      </c>
      <c r="D2" s="4">
        <v>2.6388888888888889E-2</v>
      </c>
      <c r="E2" s="9">
        <f>(C2-INT(C2))*24*60</f>
        <v>0</v>
      </c>
      <c r="F2" s="9">
        <f>(D2-INT(D2))*24*60</f>
        <v>38</v>
      </c>
    </row>
    <row r="3" spans="1:8" x14ac:dyDescent="0.3">
      <c r="A3" s="13">
        <v>29</v>
      </c>
      <c r="B3" s="1" t="s">
        <v>31</v>
      </c>
      <c r="C3" s="4">
        <v>2.7083333333333334E-2</v>
      </c>
      <c r="D3" s="4">
        <v>7.2222222222222229E-2</v>
      </c>
      <c r="E3" s="9">
        <f t="shared" ref="E3:E24" si="0">(C3-INT(C3))*24*60</f>
        <v>39</v>
      </c>
      <c r="F3" s="9">
        <f t="shared" ref="F3:F24" si="1">(D3-INT(D3))*24*60</f>
        <v>104</v>
      </c>
    </row>
    <row r="4" spans="1:8" x14ac:dyDescent="0.3">
      <c r="A4" s="13">
        <v>30</v>
      </c>
      <c r="B4" s="1" t="s">
        <v>32</v>
      </c>
      <c r="C4" s="4">
        <v>7.2916666666666671E-2</v>
      </c>
      <c r="D4" s="4">
        <v>0.13472222222222222</v>
      </c>
      <c r="E4" s="9">
        <f t="shared" si="0"/>
        <v>105</v>
      </c>
      <c r="F4" s="9">
        <f t="shared" si="1"/>
        <v>194</v>
      </c>
    </row>
    <row r="5" spans="1:8" x14ac:dyDescent="0.3">
      <c r="A5" s="13">
        <v>31</v>
      </c>
      <c r="B5" s="1" t="s">
        <v>33</v>
      </c>
      <c r="C5" s="4">
        <v>0.13541666666666666</v>
      </c>
      <c r="D5" s="4">
        <v>0.15069444444444444</v>
      </c>
      <c r="E5" s="9">
        <f t="shared" si="0"/>
        <v>195</v>
      </c>
      <c r="F5" s="9">
        <f t="shared" si="1"/>
        <v>216.99999999999997</v>
      </c>
    </row>
    <row r="6" spans="1:8" x14ac:dyDescent="0.3">
      <c r="A6" s="13">
        <v>32</v>
      </c>
      <c r="B6" s="13" t="s">
        <v>55</v>
      </c>
      <c r="C6" s="4">
        <v>0.15138888888888888</v>
      </c>
      <c r="D6" s="4">
        <v>0.20138888888888887</v>
      </c>
      <c r="E6" s="9">
        <f t="shared" si="0"/>
        <v>217.99999999999997</v>
      </c>
      <c r="F6" s="9">
        <f t="shared" si="1"/>
        <v>290</v>
      </c>
    </row>
    <row r="7" spans="1:8" x14ac:dyDescent="0.3">
      <c r="A7" s="13">
        <v>33</v>
      </c>
      <c r="B7" s="1" t="s">
        <v>34</v>
      </c>
      <c r="C7" s="4">
        <v>0.20208333333333331</v>
      </c>
      <c r="D7" s="4">
        <v>0.28611111111111115</v>
      </c>
      <c r="E7" s="9">
        <f t="shared" si="0"/>
        <v>291</v>
      </c>
      <c r="F7" s="9">
        <f t="shared" si="1"/>
        <v>412</v>
      </c>
    </row>
    <row r="8" spans="1:8" x14ac:dyDescent="0.3">
      <c r="A8" s="13">
        <v>34</v>
      </c>
      <c r="B8" s="1" t="s">
        <v>35</v>
      </c>
      <c r="C8" s="4">
        <v>0.28680555555555554</v>
      </c>
      <c r="D8" s="4">
        <v>0.33888888888888885</v>
      </c>
      <c r="E8" s="9">
        <f t="shared" si="0"/>
        <v>413</v>
      </c>
      <c r="F8" s="9">
        <f t="shared" si="1"/>
        <v>488</v>
      </c>
    </row>
    <row r="9" spans="1:8" x14ac:dyDescent="0.3">
      <c r="A9" s="13">
        <v>35</v>
      </c>
      <c r="B9" s="1" t="s">
        <v>36</v>
      </c>
      <c r="C9" s="4">
        <v>0.3576388888888889</v>
      </c>
      <c r="D9" s="4">
        <v>0.4291666666666667</v>
      </c>
      <c r="E9" s="9">
        <f t="shared" si="0"/>
        <v>515</v>
      </c>
      <c r="F9" s="9">
        <f t="shared" si="1"/>
        <v>618</v>
      </c>
      <c r="H9" s="7"/>
    </row>
    <row r="10" spans="1:8" x14ac:dyDescent="0.3">
      <c r="A10" s="13">
        <v>36</v>
      </c>
      <c r="B10" s="1" t="s">
        <v>37</v>
      </c>
      <c r="C10" s="4">
        <v>0.42986111111111108</v>
      </c>
      <c r="D10" s="4">
        <v>0.50972222222222219</v>
      </c>
      <c r="E10" s="9">
        <f t="shared" si="0"/>
        <v>619</v>
      </c>
      <c r="F10" s="9">
        <f t="shared" si="1"/>
        <v>734</v>
      </c>
    </row>
    <row r="11" spans="1:8" x14ac:dyDescent="0.3">
      <c r="A11" s="13">
        <v>37</v>
      </c>
      <c r="B11" s="1" t="s">
        <v>38</v>
      </c>
      <c r="C11" s="4">
        <v>0.51041666666666663</v>
      </c>
      <c r="D11" s="4">
        <v>0.54513888888888895</v>
      </c>
      <c r="E11" s="9">
        <f t="shared" si="0"/>
        <v>735</v>
      </c>
      <c r="F11" s="9">
        <f t="shared" si="1"/>
        <v>785.00000000000011</v>
      </c>
    </row>
    <row r="12" spans="1:8" x14ac:dyDescent="0.3">
      <c r="A12" s="13">
        <v>38</v>
      </c>
      <c r="B12" s="1" t="s">
        <v>49</v>
      </c>
      <c r="C12" s="4">
        <v>0.54583333333333328</v>
      </c>
      <c r="D12" s="4">
        <v>0.66111111111111109</v>
      </c>
      <c r="E12" s="9">
        <f t="shared" si="0"/>
        <v>785.99999999999989</v>
      </c>
      <c r="F12" s="9">
        <f t="shared" si="1"/>
        <v>952</v>
      </c>
    </row>
    <row r="13" spans="1:8" x14ac:dyDescent="0.3">
      <c r="A13" s="13">
        <v>39</v>
      </c>
      <c r="B13" s="1" t="s">
        <v>39</v>
      </c>
      <c r="C13" s="4">
        <v>0.66111111111111109</v>
      </c>
      <c r="D13" s="4">
        <v>0.69861111111111107</v>
      </c>
      <c r="E13" s="9">
        <f t="shared" si="0"/>
        <v>952</v>
      </c>
      <c r="F13" s="9">
        <f t="shared" si="1"/>
        <v>1006</v>
      </c>
    </row>
    <row r="14" spans="1:8" x14ac:dyDescent="0.3">
      <c r="A14" s="13">
        <v>40</v>
      </c>
      <c r="B14" s="1" t="s">
        <v>40</v>
      </c>
      <c r="C14" s="4">
        <v>0.69930555555555562</v>
      </c>
      <c r="D14" s="4">
        <v>0.7583333333333333</v>
      </c>
      <c r="E14" s="9">
        <f t="shared" si="0"/>
        <v>1007.0000000000001</v>
      </c>
      <c r="F14" s="9">
        <f t="shared" si="1"/>
        <v>1092</v>
      </c>
    </row>
    <row r="15" spans="1:8" x14ac:dyDescent="0.3">
      <c r="A15" s="13">
        <v>41</v>
      </c>
      <c r="B15" s="1" t="s">
        <v>41</v>
      </c>
      <c r="C15" s="4">
        <v>0.75902777777777775</v>
      </c>
      <c r="D15" s="4">
        <v>0.77777777777777779</v>
      </c>
      <c r="E15" s="9">
        <f t="shared" si="0"/>
        <v>1093</v>
      </c>
      <c r="F15" s="9">
        <f t="shared" si="1"/>
        <v>1120</v>
      </c>
    </row>
    <row r="16" spans="1:8" x14ac:dyDescent="0.3">
      <c r="A16" s="13">
        <v>42</v>
      </c>
      <c r="B16" s="1" t="s">
        <v>42</v>
      </c>
      <c r="C16" s="4">
        <v>0.77847222222222223</v>
      </c>
      <c r="D16" s="4">
        <v>0.78749999999999998</v>
      </c>
      <c r="E16" s="9">
        <f t="shared" si="0"/>
        <v>1121</v>
      </c>
      <c r="F16" s="9">
        <f t="shared" si="1"/>
        <v>1134</v>
      </c>
    </row>
    <row r="17" spans="1:9" x14ac:dyDescent="0.3">
      <c r="A17" s="13">
        <v>43</v>
      </c>
      <c r="B17" s="1" t="s">
        <v>43</v>
      </c>
      <c r="C17" s="4">
        <v>0.78819444444444453</v>
      </c>
      <c r="D17" s="4">
        <v>0.82291666666666663</v>
      </c>
      <c r="E17" s="9">
        <f t="shared" si="0"/>
        <v>1135</v>
      </c>
      <c r="F17" s="9">
        <f t="shared" si="1"/>
        <v>1185</v>
      </c>
      <c r="I17" s="5"/>
    </row>
    <row r="18" spans="1:9" x14ac:dyDescent="0.3">
      <c r="A18" s="13">
        <v>44</v>
      </c>
      <c r="B18" s="1" t="s">
        <v>44</v>
      </c>
      <c r="C18" s="4">
        <v>0.82291666666666663</v>
      </c>
      <c r="D18" s="4">
        <v>0.84722222222222221</v>
      </c>
      <c r="E18" s="9">
        <f t="shared" si="0"/>
        <v>1185</v>
      </c>
      <c r="F18" s="9">
        <f t="shared" si="1"/>
        <v>1220</v>
      </c>
      <c r="H18" s="5"/>
    </row>
    <row r="19" spans="1:9" x14ac:dyDescent="0.3">
      <c r="A19" s="13">
        <v>45</v>
      </c>
      <c r="B19" s="1" t="s">
        <v>45</v>
      </c>
      <c r="C19" s="4">
        <v>0.84791666666666676</v>
      </c>
      <c r="D19" s="4">
        <v>0.89444444444444438</v>
      </c>
      <c r="E19" s="9">
        <f t="shared" si="0"/>
        <v>1221</v>
      </c>
      <c r="F19" s="9">
        <f t="shared" si="1"/>
        <v>1288</v>
      </c>
    </row>
    <row r="20" spans="1:9" x14ac:dyDescent="0.3">
      <c r="A20" s="13">
        <v>46</v>
      </c>
      <c r="B20" s="1" t="s">
        <v>46</v>
      </c>
      <c r="C20" s="4">
        <v>0.89513888888888893</v>
      </c>
      <c r="D20" s="4">
        <v>0.91180555555555554</v>
      </c>
      <c r="E20" s="9">
        <f t="shared" si="0"/>
        <v>1289</v>
      </c>
      <c r="F20" s="9">
        <f t="shared" si="1"/>
        <v>1313</v>
      </c>
    </row>
    <row r="21" spans="1:9" x14ac:dyDescent="0.3">
      <c r="A21" s="13">
        <v>47</v>
      </c>
      <c r="B21" s="1" t="s">
        <v>47</v>
      </c>
      <c r="C21" s="4">
        <v>0.91249999999999998</v>
      </c>
      <c r="D21" s="4">
        <v>0.95000000000000007</v>
      </c>
      <c r="E21" s="9">
        <f t="shared" si="0"/>
        <v>1314</v>
      </c>
      <c r="F21" s="9">
        <f t="shared" si="1"/>
        <v>1368</v>
      </c>
    </row>
    <row r="22" spans="1:9" x14ac:dyDescent="0.3">
      <c r="A22" s="13">
        <v>48</v>
      </c>
      <c r="B22" s="8" t="s">
        <v>48</v>
      </c>
      <c r="C22" s="15">
        <v>1.5844907407407408E-2</v>
      </c>
      <c r="D22" s="14">
        <v>1.6666666666666666E-2</v>
      </c>
      <c r="E22" s="9">
        <f>(C22-INT(C22))*24*60*60</f>
        <v>1369.0000000000002</v>
      </c>
      <c r="F22" s="9">
        <f>(D22-INT(D22))*24*60*60</f>
        <v>1440</v>
      </c>
      <c r="G22" s="8"/>
      <c r="H22" s="8"/>
    </row>
    <row r="23" spans="1:9" x14ac:dyDescent="0.3">
      <c r="A23" s="13">
        <v>49</v>
      </c>
      <c r="B23" s="8" t="s">
        <v>50</v>
      </c>
      <c r="C23" s="14">
        <v>1.667824074074074E-2</v>
      </c>
      <c r="D23" s="14">
        <v>1.7361111111111112E-2</v>
      </c>
      <c r="E23" s="9">
        <f t="shared" ref="E23:E24" si="2">(C23-INT(C23))*24*60*60</f>
        <v>1441</v>
      </c>
      <c r="F23" s="9">
        <f t="shared" ref="F23:F24" si="3">(D23-INT(D23))*24*60*60</f>
        <v>1500</v>
      </c>
      <c r="G23" s="8"/>
      <c r="H23" s="8"/>
    </row>
    <row r="24" spans="1:9" x14ac:dyDescent="0.3">
      <c r="A24" s="13">
        <v>50</v>
      </c>
      <c r="B24" s="8" t="s">
        <v>51</v>
      </c>
      <c r="C24" s="14">
        <v>1.7361111111111112E-2</v>
      </c>
      <c r="D24" s="14">
        <v>1.7881944444444443E-2</v>
      </c>
      <c r="E24" s="9">
        <f t="shared" si="2"/>
        <v>1500</v>
      </c>
      <c r="F24" s="9">
        <f t="shared" si="3"/>
        <v>1545</v>
      </c>
      <c r="G24" s="8"/>
      <c r="H24" s="8"/>
    </row>
  </sheetData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SD_SL1</vt:lpstr>
      <vt:lpstr>SD_SL2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hassonlab</dc:creator>
  <cp:lastModifiedBy>Janice Chen</cp:lastModifiedBy>
  <dcterms:created xsi:type="dcterms:W3CDTF">2013-08-26T18:12:55Z</dcterms:created>
  <dcterms:modified xsi:type="dcterms:W3CDTF">2013-09-27T19:07:54Z</dcterms:modified>
</cp:coreProperties>
</file>
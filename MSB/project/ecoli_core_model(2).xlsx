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/>
  <mc:AlternateContent xmlns:mc="http://schemas.openxmlformats.org/markup-compatibility/2006">
    <mc:Choice Requires="x15">
      <x15ac:absPath xmlns:x15ac="http://schemas.microsoft.com/office/spreadsheetml/2010/11/ac" url="C:\Users\Diego\Documents\MATLAB\JHU\MSB\project\"/>
    </mc:Choice>
  </mc:AlternateContent>
  <xr:revisionPtr revIDLastSave="0" documentId="13_ncr:1_{F871897A-F8D6-4758-A2D9-0774CDDABC39}" xr6:coauthVersionLast="40" xr6:coauthVersionMax="40" xr10:uidLastSave="{00000000-0000-0000-0000-000000000000}"/>
  <bookViews>
    <workbookView xWindow="0" yWindow="0" windowWidth="23040" windowHeight="8490" activeTab="2" xr2:uid="{00000000-000D-0000-FFFF-FFFF00000000}"/>
  </bookViews>
  <sheets>
    <sheet name="Ecoli_core_S" sheetId="1" r:id="rId1"/>
    <sheet name="Reaction max and min" sheetId="2" r:id="rId2"/>
    <sheet name="rxn_info" sheetId="3" r:id="rId3"/>
    <sheet name="Sheet1" sheetId="6" r:id="rId4"/>
    <sheet name="cmpd_info" sheetId="5" r:id="rId5"/>
  </sheets>
  <definedNames>
    <definedName name="_xlnm._FilterDatabase" localSheetId="4" hidden="1">cmpd_info!$B$1:$B$64</definedName>
    <definedName name="_xlnm._FilterDatabase" localSheetId="2" hidden="1">rxn_info!$A$1:$G$78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2" i="6"/>
  <c r="F3" i="6"/>
  <c r="F4" i="6"/>
  <c r="F5" i="6"/>
  <c r="F6" i="6"/>
  <c r="F2" i="6"/>
</calcChain>
</file>

<file path=xl/sharedStrings.xml><?xml version="1.0" encoding="utf-8"?>
<sst xmlns="http://schemas.openxmlformats.org/spreadsheetml/2006/main" count="868" uniqueCount="527">
  <si>
    <t>EX_ac(e)</t>
  </si>
  <si>
    <t>EX_akg(e)</t>
  </si>
  <si>
    <t>EX_co2(e)</t>
  </si>
  <si>
    <t>EX_etoh(e)</t>
  </si>
  <si>
    <t>EX_for(e)</t>
  </si>
  <si>
    <t>EX_fum(e)</t>
  </si>
  <si>
    <t>EX_glc(e)</t>
  </si>
  <si>
    <t>EX_h(e)</t>
  </si>
  <si>
    <t>EX_h2o(e)</t>
  </si>
  <si>
    <t>EX_lac-D(e)</t>
  </si>
  <si>
    <t>EX_o2(e)</t>
  </si>
  <si>
    <t>EX_pi(e)</t>
  </si>
  <si>
    <t>EX_pyr(e)</t>
  </si>
  <si>
    <t>EX_succ(e)</t>
  </si>
  <si>
    <t>ACKr</t>
  </si>
  <si>
    <t>ACONT</t>
  </si>
  <si>
    <t>ACt2r</t>
  </si>
  <si>
    <t>ADHEr</t>
  </si>
  <si>
    <t>ADK1</t>
  </si>
  <si>
    <t>AKGDH</t>
  </si>
  <si>
    <t>AKGt2r</t>
  </si>
  <si>
    <t>ATPM</t>
  </si>
  <si>
    <t>ATPS4r</t>
  </si>
  <si>
    <t>CO2t</t>
  </si>
  <si>
    <t>CS</t>
  </si>
  <si>
    <t>CYTBD</t>
  </si>
  <si>
    <t>D-LACt2</t>
  </si>
  <si>
    <t>ENO</t>
  </si>
  <si>
    <t>ETOHt2r</t>
  </si>
  <si>
    <t>FBA</t>
  </si>
  <si>
    <t>FBP</t>
  </si>
  <si>
    <t>FORt</t>
  </si>
  <si>
    <t>FRD</t>
  </si>
  <si>
    <t>FUM</t>
  </si>
  <si>
    <t>FUMt2_2</t>
  </si>
  <si>
    <t>G6PDH2r</t>
  </si>
  <si>
    <t>GAPD</t>
  </si>
  <si>
    <t>GLCpts</t>
  </si>
  <si>
    <t>GND</t>
  </si>
  <si>
    <t>H2Ot</t>
  </si>
  <si>
    <t>ICDHyr</t>
  </si>
  <si>
    <t>ICL</t>
  </si>
  <si>
    <t>LDH_D</t>
  </si>
  <si>
    <t>MALS</t>
  </si>
  <si>
    <t>MDH</t>
  </si>
  <si>
    <t>ME1</t>
  </si>
  <si>
    <t>ME2</t>
  </si>
  <si>
    <t>NADH11</t>
  </si>
  <si>
    <t>NADTRHD</t>
  </si>
  <si>
    <t>O2t</t>
  </si>
  <si>
    <t>PDH</t>
  </si>
  <si>
    <t>PFK</t>
  </si>
  <si>
    <t>PFL</t>
  </si>
  <si>
    <t>PGI</t>
  </si>
  <si>
    <t>PGK</t>
  </si>
  <si>
    <t>PGL</t>
  </si>
  <si>
    <t>PGM</t>
  </si>
  <si>
    <t>PIt</t>
  </si>
  <si>
    <t>PPC</t>
  </si>
  <si>
    <t>PPCK</t>
  </si>
  <si>
    <t>PPS</t>
  </si>
  <si>
    <t>PTAr</t>
  </si>
  <si>
    <t>PYK</t>
  </si>
  <si>
    <t>PYRt2r</t>
  </si>
  <si>
    <t>RPE</t>
  </si>
  <si>
    <t>RPI</t>
  </si>
  <si>
    <t>SUCCt2_2</t>
  </si>
  <si>
    <t>SUCCt2b</t>
  </si>
  <si>
    <t>SUCD1i</t>
  </si>
  <si>
    <t>SUCD4</t>
  </si>
  <si>
    <t>SUCOAS</t>
  </si>
  <si>
    <t>TALA</t>
  </si>
  <si>
    <t>THD2</t>
  </si>
  <si>
    <t>TKT1</t>
  </si>
  <si>
    <t>TKT2</t>
  </si>
  <si>
    <t>TPI</t>
  </si>
  <si>
    <t>ac(e)</t>
  </si>
  <si>
    <t>akg(e)</t>
  </si>
  <si>
    <t>co2(e)</t>
  </si>
  <si>
    <t>etoh(e)</t>
  </si>
  <si>
    <t>for(e)</t>
  </si>
  <si>
    <t>fum(e)</t>
  </si>
  <si>
    <t>glc-D(e)</t>
  </si>
  <si>
    <t>h(e)</t>
  </si>
  <si>
    <t>h2o(e)</t>
  </si>
  <si>
    <t>lac-D(e)</t>
  </si>
  <si>
    <t>o2(e)</t>
  </si>
  <si>
    <t>pi(e)</t>
  </si>
  <si>
    <t>pyr(e)</t>
  </si>
  <si>
    <t>succ(e)</t>
  </si>
  <si>
    <t>METABOLITE / ABBREVIATION</t>
  </si>
  <si>
    <t>min</t>
  </si>
  <si>
    <t>max</t>
  </si>
  <si>
    <t>Abbreviation</t>
  </si>
  <si>
    <t xml:space="preserve">the reactions that have lower bounds (min) equal to zero indicate that these reactions are irreversible and these constraints should not be changed. </t>
  </si>
  <si>
    <t>Name</t>
  </si>
  <si>
    <t>Equation</t>
  </si>
  <si>
    <t>Gene</t>
  </si>
  <si>
    <t>Protein</t>
  </si>
  <si>
    <t>EC</t>
  </si>
  <si>
    <t>acetate kinase</t>
  </si>
  <si>
    <t>[c] : ac + atp &lt;==&gt; actp + adp</t>
  </si>
  <si>
    <t>b2296</t>
  </si>
  <si>
    <t>AckA</t>
  </si>
  <si>
    <t>EC-2.7.2.1</t>
  </si>
  <si>
    <t>aconitase</t>
  </si>
  <si>
    <t>[c] : cit &lt;==&gt; icit</t>
  </si>
  <si>
    <t>b0118, b1276</t>
  </si>
  <si>
    <t>AcnB, AcnA</t>
  </si>
  <si>
    <t>EC-4.2.1.3</t>
  </si>
  <si>
    <t>acetate reversible transport via proton symport</t>
  </si>
  <si>
    <t>ac[e] + h[e] &lt;==&gt; ac[c] + h[c]</t>
  </si>
  <si>
    <t>Acetaldehyde dehydrogenase</t>
  </si>
  <si>
    <t>[c] : accoa + (2) h + (2) nadh &lt;==&gt; coa + etoh + (2) nad</t>
  </si>
  <si>
    <t>b1241</t>
  </si>
  <si>
    <t>AdhE</t>
  </si>
  <si>
    <t>adenylate kinase</t>
  </si>
  <si>
    <t>[c] : amp + atp &lt;==&gt; (2) adp</t>
  </si>
  <si>
    <t>b0474</t>
  </si>
  <si>
    <t>Adk</t>
  </si>
  <si>
    <t>EC-2.7.4.3</t>
  </si>
  <si>
    <t>2-Oxogluterate dehydrogenase</t>
  </si>
  <si>
    <t>[c] : akg + coa + nad --&gt; co2 + nadh + succoa</t>
  </si>
  <si>
    <t>b0727+b0116+b0726</t>
  </si>
  <si>
    <t>SucA</t>
  </si>
  <si>
    <t>2-oxoglutarate reversible transport via symport</t>
  </si>
  <si>
    <t>akg[e] + h[e] &lt;==&gt; akg[c] + h[c]</t>
  </si>
  <si>
    <t>b2587</t>
  </si>
  <si>
    <t>KgtPec</t>
  </si>
  <si>
    <t>ATP maintenance requirement</t>
  </si>
  <si>
    <t>[c] : atp + h2o --&gt; adp + h + pi</t>
  </si>
  <si>
    <t>ATP synthase (four protons for one ATP)</t>
  </si>
  <si>
    <t>adp[c] + (4) h[e] + pi[c] &lt;==&gt; atp[c] + (3) h[c] + h2o[c]</t>
  </si>
  <si>
    <t>b3731+b3734+b3735+b3733+b3732, b3737+b3738+b3736, b3739</t>
  </si>
  <si>
    <t>AtpF1+AtpF0+AtpI</t>
  </si>
  <si>
    <t>EC-3.6.3.14</t>
  </si>
  <si>
    <t>CO2 transporter via diffusion</t>
  </si>
  <si>
    <t>co2[e] &lt;==&gt; co2[c]</t>
  </si>
  <si>
    <t>citrate synthase</t>
  </si>
  <si>
    <t>[c] : accoa + h2o + oaa --&gt; cit + coa + h</t>
  </si>
  <si>
    <t>b0720</t>
  </si>
  <si>
    <t>GltA</t>
  </si>
  <si>
    <t>cytochrome oxidase bd (ubiquinol-8: 2 protons)</t>
  </si>
  <si>
    <t>(2) h[c] + (0.5) o2[c] + q8h2[c] --&gt; (2) h[e] + h2o[c] + q8[c]</t>
  </si>
  <si>
    <t>b0429+b0431+b0430+b0432</t>
  </si>
  <si>
    <t>CyoA</t>
  </si>
  <si>
    <t>D-lactate transport via proton symport</t>
  </si>
  <si>
    <t>h[e] + lac-D[e] &lt;==&gt; h[c] + lac-D[c]</t>
  </si>
  <si>
    <t>b2975, b3603</t>
  </si>
  <si>
    <t>GlcA, LldP</t>
  </si>
  <si>
    <t>enolase</t>
  </si>
  <si>
    <t>[c] : 2pg &lt;==&gt; h2o + pep</t>
  </si>
  <si>
    <t>b2779</t>
  </si>
  <si>
    <t>Eno</t>
  </si>
  <si>
    <t>EC-4.2.1.11</t>
  </si>
  <si>
    <t>ethanol reversible transport via proton symport</t>
  </si>
  <si>
    <t>etoh[e] + h[e] &lt;==&gt; etoh[c] + h[c]</t>
  </si>
  <si>
    <t>fructose-bisphosphate aldolase</t>
  </si>
  <si>
    <t>[c] : fdp &lt;==&gt; dhap + g3p</t>
  </si>
  <si>
    <t>b2925</t>
  </si>
  <si>
    <t>FbaA</t>
  </si>
  <si>
    <t>EC-4.1.2.13</t>
  </si>
  <si>
    <t>fructose-bisphosphatase</t>
  </si>
  <si>
    <t>[c] : fdp + h2o --&gt; f6p + pi</t>
  </si>
  <si>
    <t>b4232</t>
  </si>
  <si>
    <t>Fbp</t>
  </si>
  <si>
    <t>EC-3.1.3.11</t>
  </si>
  <si>
    <t>formate transport via diffusion</t>
  </si>
  <si>
    <t>for[e] &lt;==&gt; for[c]</t>
  </si>
  <si>
    <t>b0904</t>
  </si>
  <si>
    <t>FocA</t>
  </si>
  <si>
    <t>fumarate reductase</t>
  </si>
  <si>
    <t>[c] : fadh2 + fum --&gt; fad + succ</t>
  </si>
  <si>
    <t>b4153+b4152+b4151+b4154, b3117</t>
  </si>
  <si>
    <t>Frd</t>
  </si>
  <si>
    <t>EC-1.3.99.1</t>
  </si>
  <si>
    <t>fumarase</t>
  </si>
  <si>
    <t>[c] : fum + h2o &lt;==&gt; mal-L</t>
  </si>
  <si>
    <t>b4122, b1612, b1611</t>
  </si>
  <si>
    <t>FumB, FumA, FumCec</t>
  </si>
  <si>
    <t>EC-4.2.1.2</t>
  </si>
  <si>
    <t>Fumarate transport via proton symport (2 H)</t>
  </si>
  <si>
    <t>fum[e] + (2) h[e] --&gt; fum[c] + (2) h[c]</t>
  </si>
  <si>
    <t>b3528</t>
  </si>
  <si>
    <t>DctA</t>
  </si>
  <si>
    <t>glucose 6-phosphate dehydrogenase</t>
  </si>
  <si>
    <t>[c] : g6p + nadp &lt;==&gt; 6pgl + h + nadph</t>
  </si>
  <si>
    <t>b1852</t>
  </si>
  <si>
    <t>Zwf</t>
  </si>
  <si>
    <t>EC-1.1.1.49</t>
  </si>
  <si>
    <t>glyceraldehyde-3-phosphate dehydrogenase</t>
  </si>
  <si>
    <t>[c] : g3p + nad + pi &lt;==&gt; 13dpg + h + nadh</t>
  </si>
  <si>
    <t>b1779, b1416+b1417</t>
  </si>
  <si>
    <t>GapA, GapC</t>
  </si>
  <si>
    <t>EC-1.2.1.12</t>
  </si>
  <si>
    <t>D-glucose transport via PEP:Pyr PTS</t>
  </si>
  <si>
    <t>glc-D[e] + pep[c] --&gt; g6p[c] + pyr[c]</t>
  </si>
  <si>
    <t>b2416+b1101+b2415+b2417</t>
  </si>
  <si>
    <t>Pts</t>
  </si>
  <si>
    <t>phosphogluconate dehydrogenase</t>
  </si>
  <si>
    <t>[c] : 6pgc + nadp --&gt; co2 + nadph + ru5p-D</t>
  </si>
  <si>
    <t>b2029</t>
  </si>
  <si>
    <t>Gnd</t>
  </si>
  <si>
    <t>EC-1.1.1.44</t>
  </si>
  <si>
    <t>H2O transport via diffusion</t>
  </si>
  <si>
    <t>h2o[e] &lt;==&gt; h2o[c]</t>
  </si>
  <si>
    <t>isocitrate dehydrogenase (NADP)</t>
  </si>
  <si>
    <t>[c] : icit + nadp &lt;==&gt; akg + co2 + nadph</t>
  </si>
  <si>
    <t>b1136</t>
  </si>
  <si>
    <t>Icd</t>
  </si>
  <si>
    <t>EC-1.1.1.42</t>
  </si>
  <si>
    <t>Isocitrate lyase</t>
  </si>
  <si>
    <t>[c] : icit --&gt; glx + succ</t>
  </si>
  <si>
    <t>b4015</t>
  </si>
  <si>
    <t>AceA</t>
  </si>
  <si>
    <t>EC-4.1.3.1</t>
  </si>
  <si>
    <t>D-lactate dehydrogenase</t>
  </si>
  <si>
    <t>[c] : lac-D + nad &lt;==&gt; h + nadh + pyr</t>
  </si>
  <si>
    <t>b1380</t>
  </si>
  <si>
    <t>Ldh</t>
  </si>
  <si>
    <t>EC-1.1.1.28</t>
  </si>
  <si>
    <t>malate synthase</t>
  </si>
  <si>
    <t>[c] : accoa + glx + h2o --&gt; coa + h + mal-L</t>
  </si>
  <si>
    <t>b4014, b2976</t>
  </si>
  <si>
    <t>AceB, GlcB</t>
  </si>
  <si>
    <t>EC-4.1.3.2</t>
  </si>
  <si>
    <t>malate dehydrogenase</t>
  </si>
  <si>
    <t>[c] : mal-L + nad &lt;==&gt; h + nadh + oaa</t>
  </si>
  <si>
    <t>b3236</t>
  </si>
  <si>
    <t>Mdh</t>
  </si>
  <si>
    <t>EC-1.1.1.37</t>
  </si>
  <si>
    <t>malic enzyme (NAD)</t>
  </si>
  <si>
    <t>[c] : mal-L + nad --&gt; co2 + nadh + pyr</t>
  </si>
  <si>
    <t>b1479</t>
  </si>
  <si>
    <t>Sfc</t>
  </si>
  <si>
    <t>EC-1.1.1.38</t>
  </si>
  <si>
    <t>malic enzyme (NADP)</t>
  </si>
  <si>
    <t>[c] : mal-L + nadp --&gt; co2 + nadph + pyr</t>
  </si>
  <si>
    <t>b2463</t>
  </si>
  <si>
    <t>Mae</t>
  </si>
  <si>
    <t>EC-1.1.1.40</t>
  </si>
  <si>
    <t>NADH dehydrogenase (ubiquinone-8 &amp; 2 protons)</t>
  </si>
  <si>
    <t>(3) h[c] + nadh[c] + q8[c] --&gt; (2) h[e] + nad[c] + q8h2[c]</t>
  </si>
  <si>
    <t>b2286+b2278+b2283+b2284+b2288+b2287+b2282+b2280+b2276+b2277+b2279+b2281+b2285</t>
  </si>
  <si>
    <t>Nuo</t>
  </si>
  <si>
    <t>EC-1.6.5.3</t>
  </si>
  <si>
    <t>NAD transhydrogenase</t>
  </si>
  <si>
    <t>[c] : nad + nadph --&gt; nadh + nadp</t>
  </si>
  <si>
    <t>b1603+b1602</t>
  </si>
  <si>
    <t>Pnt</t>
  </si>
  <si>
    <t>o2 transport (diffusion)</t>
  </si>
  <si>
    <t>o2[e] &lt;==&gt; o2[c]</t>
  </si>
  <si>
    <t>pyruvate dehydrogenase</t>
  </si>
  <si>
    <t>[c] : coa + nad + pyr --&gt; accoa + co2 + nadh</t>
  </si>
  <si>
    <t>b0114+b0115+b0116</t>
  </si>
  <si>
    <t>AceE</t>
  </si>
  <si>
    <t>phosphofructokinase</t>
  </si>
  <si>
    <t>[c] : atp + f6p --&gt; adp + fdp + h</t>
  </si>
  <si>
    <t>b1723, b3916</t>
  </si>
  <si>
    <t>PfkB, PfkA</t>
  </si>
  <si>
    <t>EC-2.7.1.11</t>
  </si>
  <si>
    <t>pyruvate formate lyase</t>
  </si>
  <si>
    <t>[c] : coa + pyr --&gt; accoa + for</t>
  </si>
  <si>
    <t>b3952+b3951</t>
  </si>
  <si>
    <t>PflC</t>
  </si>
  <si>
    <t>glucose-6-phosphate isomerase</t>
  </si>
  <si>
    <t>[c] : g6p &lt;==&gt; f6p</t>
  </si>
  <si>
    <t>b4025</t>
  </si>
  <si>
    <t>Pgi</t>
  </si>
  <si>
    <t>EC-5.3.1.9</t>
  </si>
  <si>
    <t>phosphoglycerate kinase</t>
  </si>
  <si>
    <t>[c] : 3pg + atp &lt;==&gt; 13dpg + adp</t>
  </si>
  <si>
    <t>b2926</t>
  </si>
  <si>
    <t>Pgk</t>
  </si>
  <si>
    <t>EC-2.7.2.3</t>
  </si>
  <si>
    <t>6-phosphogluconolactonase</t>
  </si>
  <si>
    <t>[c] : 6pgl + h2o --&gt; 6pgc + h</t>
  </si>
  <si>
    <t>b0767</t>
  </si>
  <si>
    <t>Pgl</t>
  </si>
  <si>
    <t>EC-3.1.1.31</t>
  </si>
  <si>
    <t>phosphoglycerate mutase</t>
  </si>
  <si>
    <t>[c] : 2pg &lt;==&gt; 3pg</t>
  </si>
  <si>
    <t>b0755, b4395</t>
  </si>
  <si>
    <t>GpmA, GpmB</t>
  </si>
  <si>
    <t>EC-5.4.2.1</t>
  </si>
  <si>
    <t>Inorganic phosphate exchange, diffusion</t>
  </si>
  <si>
    <t>pi[c] &lt;==&gt; pi[e]</t>
  </si>
  <si>
    <t>phosphoenolpyruvate carboxylase</t>
  </si>
  <si>
    <t>[c] : co2 + h2o + pep --&gt; h + oaa + pi</t>
  </si>
  <si>
    <t>b3956</t>
  </si>
  <si>
    <t>Ppc</t>
  </si>
  <si>
    <t>EC-4.1.1.31</t>
  </si>
  <si>
    <t>phosphoenolpyruvate carboxykinase</t>
  </si>
  <si>
    <t>[c] : atp + oaa --&gt; adp + co2 + pep</t>
  </si>
  <si>
    <t>b3403</t>
  </si>
  <si>
    <t>Pck</t>
  </si>
  <si>
    <t>EC-4.1.1.49</t>
  </si>
  <si>
    <t>phosphoenolpyruvate synthase</t>
  </si>
  <si>
    <t>[c] : atp + h2o + pyr --&gt; amp + (2) h + pep + pi</t>
  </si>
  <si>
    <t>b1702</t>
  </si>
  <si>
    <t>Ppsa</t>
  </si>
  <si>
    <t>EC-2.7.9.2</t>
  </si>
  <si>
    <t>phosphotransacetylase</t>
  </si>
  <si>
    <t>[c] : accoa + pi &lt;==&gt; actp + coa</t>
  </si>
  <si>
    <t>b2297</t>
  </si>
  <si>
    <t>Pta</t>
  </si>
  <si>
    <t>EC-2.3.1.8</t>
  </si>
  <si>
    <t>pyruvate kinase</t>
  </si>
  <si>
    <t>[c] : adp + h + pep --&gt; atp + pyr</t>
  </si>
  <si>
    <t>b1676, b1854</t>
  </si>
  <si>
    <t>Pykf+Pyka</t>
  </si>
  <si>
    <t>EC-2.7.1.40</t>
  </si>
  <si>
    <t>pyruvate reversible transport via proton symport</t>
  </si>
  <si>
    <t>h[e] + pyr[e] &lt;==&gt; h[c] + pyr[c]</t>
  </si>
  <si>
    <t>ribulose 5-phosphate 3-epimerase</t>
  </si>
  <si>
    <t>[c] : ru5p-D &lt;==&gt; xu5p-D</t>
  </si>
  <si>
    <t>b3386</t>
  </si>
  <si>
    <t>Rpeec</t>
  </si>
  <si>
    <t>EC-5.1.3.1</t>
  </si>
  <si>
    <t>ribose-5-phosphate isomerase</t>
  </si>
  <si>
    <t>[c] : r5p &lt;==&gt; ru5p-D</t>
  </si>
  <si>
    <t>b2914, b4090</t>
  </si>
  <si>
    <t>RpiA, RpiB</t>
  </si>
  <si>
    <t>EC-5.3.1.6</t>
  </si>
  <si>
    <t>succinate transport via proton symport (2 H)</t>
  </si>
  <si>
    <t>(2) h[e] + succ[e] --&gt; (2) h[c] + succ[c]</t>
  </si>
  <si>
    <t>Succinate efflux via proton symport</t>
  </si>
  <si>
    <t>h[c] + succ[c] --&gt; h[e] + succ[e]</t>
  </si>
  <si>
    <t>b0621</t>
  </si>
  <si>
    <t>DcuC</t>
  </si>
  <si>
    <t>succinate dehydrogenase</t>
  </si>
  <si>
    <t>[c] : fad + succ --&gt; fadh2 + fum</t>
  </si>
  <si>
    <t>b0724+b0721+b0723+b0722</t>
  </si>
  <si>
    <t>Sdh</t>
  </si>
  <si>
    <t>succinate dehyrdogenase</t>
  </si>
  <si>
    <t>[c] : fadh2 + q8 &lt;==&gt; fad + q8h2</t>
  </si>
  <si>
    <t>succinyl-CoA synthetase (ADP-forming)</t>
  </si>
  <si>
    <t>[c] : atp + coa + succ &lt;==&gt; adp + pi + succoa</t>
  </si>
  <si>
    <t>b0728+b0729</t>
  </si>
  <si>
    <t>SucC</t>
  </si>
  <si>
    <t>EC-6.2.1.5</t>
  </si>
  <si>
    <t>transaldolase</t>
  </si>
  <si>
    <t>[c] : g3p + s7p &lt;==&gt; e4p + f6p</t>
  </si>
  <si>
    <t>b0008</t>
  </si>
  <si>
    <t>TalB</t>
  </si>
  <si>
    <t>EC-2.2.1.2</t>
  </si>
  <si>
    <t>NAD(P) transhydrogenase</t>
  </si>
  <si>
    <t>(2) h[e] + nadh[c] + nadp[c] --&gt; (2) h[c] + nad[c] + nadph[c]</t>
  </si>
  <si>
    <t xml:space="preserve">EC-1.6.1.1, </t>
  </si>
  <si>
    <t>transketolase</t>
  </si>
  <si>
    <t>[c] : r5p + xu5p-D &lt;==&gt; g3p + s7p</t>
  </si>
  <si>
    <t>b2465, b2935</t>
  </si>
  <si>
    <t>TktB, TktA</t>
  </si>
  <si>
    <t>EC-2.2.1.1</t>
  </si>
  <si>
    <t>[c] : e4p + xu5p-D &lt;==&gt; f6p + g3p</t>
  </si>
  <si>
    <t>triose-phosphate isomerase</t>
  </si>
  <si>
    <t>[c] : dhap &lt;==&gt; g3p</t>
  </si>
  <si>
    <t>b3919</t>
  </si>
  <si>
    <t>Tpi</t>
  </si>
  <si>
    <t>EC-5.3.1.1</t>
  </si>
  <si>
    <t>Acetate exchange</t>
  </si>
  <si>
    <t>[e] : ac &lt;==&gt;</t>
  </si>
  <si>
    <t>2-Oxoglutarate exchange</t>
  </si>
  <si>
    <t>[e] : akg &lt;==&gt;</t>
  </si>
  <si>
    <t>CO2 exchange</t>
  </si>
  <si>
    <t>[e] : co2 &lt;==&gt;</t>
  </si>
  <si>
    <t>Ethanol exchange</t>
  </si>
  <si>
    <t>[e] : etoh &lt;==&gt;</t>
  </si>
  <si>
    <t>Formate exchange</t>
  </si>
  <si>
    <t>[e] : for &lt;==&gt;</t>
  </si>
  <si>
    <t>Fumarate exchange</t>
  </si>
  <si>
    <t>[e] : fum &lt;==&gt;</t>
  </si>
  <si>
    <t>D-Glucose exchange</t>
  </si>
  <si>
    <t>[e] : glc-D &lt;==&gt;</t>
  </si>
  <si>
    <t>H+ exchange</t>
  </si>
  <si>
    <t>[e] : h &lt;==&gt;</t>
  </si>
  <si>
    <t>H2O exchange</t>
  </si>
  <si>
    <t>[e] : h2o &lt;==&gt;</t>
  </si>
  <si>
    <t>D-lactate exchange</t>
  </si>
  <si>
    <t>[e] : lac-D &lt;==&gt;</t>
  </si>
  <si>
    <t>O2 exchange</t>
  </si>
  <si>
    <t>[e] : o2 &lt;==&gt;</t>
  </si>
  <si>
    <t>Phosphate exchange</t>
  </si>
  <si>
    <t>[e] : pi &lt;==&gt;</t>
  </si>
  <si>
    <t>Pyruvate exchange</t>
  </si>
  <si>
    <t>[e] : pyr &lt;==&gt;</t>
  </si>
  <si>
    <t>Succinate exchange</t>
  </si>
  <si>
    <t>[e] : succ &lt;==&gt;</t>
  </si>
  <si>
    <t>Biomass Objective Function</t>
  </si>
  <si>
    <t>Compartment</t>
  </si>
  <si>
    <t>13dpg</t>
  </si>
  <si>
    <t>Cytosol</t>
  </si>
  <si>
    <t>3-Phospho-D-glyceroyl phosphate</t>
  </si>
  <si>
    <t>2pg</t>
  </si>
  <si>
    <t>D-Glycerate 2-phosphate</t>
  </si>
  <si>
    <t>3pg</t>
  </si>
  <si>
    <t>3-Phospho-D-glycerate</t>
  </si>
  <si>
    <t>6pgc</t>
  </si>
  <si>
    <t>6-Phospho-D-gluconate</t>
  </si>
  <si>
    <t>6pgl</t>
  </si>
  <si>
    <t>6-phospho-D-glucono-1,5-lactone</t>
  </si>
  <si>
    <t>ac</t>
  </si>
  <si>
    <t>Acetate</t>
  </si>
  <si>
    <t>ac[e]</t>
  </si>
  <si>
    <t>Extra-organism</t>
  </si>
  <si>
    <t>accoa</t>
  </si>
  <si>
    <t>Acetyl-CoA</t>
  </si>
  <si>
    <t>actp</t>
  </si>
  <si>
    <t>Acetyl phosphate</t>
  </si>
  <si>
    <t>adp</t>
  </si>
  <si>
    <t>ADP</t>
  </si>
  <si>
    <t>akg</t>
  </si>
  <si>
    <t>2-Oxoglutarate</t>
  </si>
  <si>
    <t>akg[e]</t>
  </si>
  <si>
    <t>amp</t>
  </si>
  <si>
    <t>AMP</t>
  </si>
  <si>
    <t>atp</t>
  </si>
  <si>
    <t>ATP</t>
  </si>
  <si>
    <t>cit</t>
  </si>
  <si>
    <t>Citrate</t>
  </si>
  <si>
    <t>co2</t>
  </si>
  <si>
    <t>CO2</t>
  </si>
  <si>
    <t>co2[e]</t>
  </si>
  <si>
    <t>coa</t>
  </si>
  <si>
    <t>Coenzyme A</t>
  </si>
  <si>
    <t>dhap</t>
  </si>
  <si>
    <t>Dihydroxyacetone phosphate</t>
  </si>
  <si>
    <t>e4p</t>
  </si>
  <si>
    <t>D-Erythrose 4-phosphate</t>
  </si>
  <si>
    <t>etoh</t>
  </si>
  <si>
    <t>Ethanol</t>
  </si>
  <si>
    <t>etoh[e]</t>
  </si>
  <si>
    <t>f6p</t>
  </si>
  <si>
    <t>D-Fructose 6-phosphate</t>
  </si>
  <si>
    <t>fad</t>
  </si>
  <si>
    <t>Flavin adenine dinucleotide oxidized</t>
  </si>
  <si>
    <t>fadh2</t>
  </si>
  <si>
    <t>Flavin adenine dinucleotide reduced</t>
  </si>
  <si>
    <t>fdp</t>
  </si>
  <si>
    <t>D-Fructose 1,6-bisphosphate</t>
  </si>
  <si>
    <t>for</t>
  </si>
  <si>
    <t>Formate</t>
  </si>
  <si>
    <t>for[e]</t>
  </si>
  <si>
    <t>fum</t>
  </si>
  <si>
    <t>Fumarate</t>
  </si>
  <si>
    <t>fum[e]</t>
  </si>
  <si>
    <t>g3p</t>
  </si>
  <si>
    <t>Glyceraldehyde 3-phosphate</t>
  </si>
  <si>
    <t>g6p</t>
  </si>
  <si>
    <t>D-Glucose 6-phosphate</t>
  </si>
  <si>
    <t>glc-D[e]</t>
  </si>
  <si>
    <t>D-Glucose</t>
  </si>
  <si>
    <t>glx</t>
  </si>
  <si>
    <t>Glyoxylate</t>
  </si>
  <si>
    <t>h</t>
  </si>
  <si>
    <t>H+</t>
  </si>
  <si>
    <t>h2o</t>
  </si>
  <si>
    <t>H2O</t>
  </si>
  <si>
    <t>h2o[e]</t>
  </si>
  <si>
    <t>h[e]</t>
  </si>
  <si>
    <t>icit</t>
  </si>
  <si>
    <t>Isocitrate</t>
  </si>
  <si>
    <t>lac-D</t>
  </si>
  <si>
    <t>D-Lactate</t>
  </si>
  <si>
    <t>lac-D[e]</t>
  </si>
  <si>
    <t>mal-L</t>
  </si>
  <si>
    <t>L-Malate</t>
  </si>
  <si>
    <t>nad</t>
  </si>
  <si>
    <t>Nicotinamide adenine dinucleotide</t>
  </si>
  <si>
    <t>nadh</t>
  </si>
  <si>
    <t>Nicotinamide adenine dinucleotide - reduced</t>
  </si>
  <si>
    <t>nadp</t>
  </si>
  <si>
    <t>Nicotinamide adenine dinucleotide phosphate</t>
  </si>
  <si>
    <t>nadph</t>
  </si>
  <si>
    <t>Nicotinamide adenine dinucleotide phosphate - reduced</t>
  </si>
  <si>
    <t>o2</t>
  </si>
  <si>
    <t>O2</t>
  </si>
  <si>
    <t>o2[e]</t>
  </si>
  <si>
    <t>oaa</t>
  </si>
  <si>
    <t>Oxaloacetate</t>
  </si>
  <si>
    <t>pep</t>
  </si>
  <si>
    <t>Phosphoenolpyruvate</t>
  </si>
  <si>
    <t>pi</t>
  </si>
  <si>
    <t>Phosphate</t>
  </si>
  <si>
    <t>pi[e]</t>
  </si>
  <si>
    <t>pyr</t>
  </si>
  <si>
    <t>Pyruvate</t>
  </si>
  <si>
    <t>pyr[e]</t>
  </si>
  <si>
    <t>q8</t>
  </si>
  <si>
    <t>Ubiquinone-8</t>
  </si>
  <si>
    <t>q8h2</t>
  </si>
  <si>
    <t>Ubiquinol-8</t>
  </si>
  <si>
    <t>r5p</t>
  </si>
  <si>
    <t>alpha-D-Ribose 5-phosphate</t>
  </si>
  <si>
    <t>ru5p-D</t>
  </si>
  <si>
    <t>D-Ribulose 5-phosphate</t>
  </si>
  <si>
    <t>s7p</t>
  </si>
  <si>
    <t>Sedoheptulose 7-phosphate</t>
  </si>
  <si>
    <t>succ</t>
  </si>
  <si>
    <t>Succinate</t>
  </si>
  <si>
    <t>succ[e]</t>
  </si>
  <si>
    <t>succoa</t>
  </si>
  <si>
    <t>Succinyl-CoA</t>
  </si>
  <si>
    <t>xu5p-D</t>
  </si>
  <si>
    <t>D-Xylulose 5-phosphate</t>
  </si>
  <si>
    <t>Biomass_Ecoli_core_N (w/ GAM)</t>
  </si>
  <si>
    <t>[c] : (1.496) 3pg + (3.7478) accoa + (1.0789) akg + (55.703) atp + (0.361) e4p + (0.0709) f6p + (0.129) g3p + (0.205) g6p + (55.703) h2o + (3.547) nad + (18.225) nadph + (1.7867) oaa + (0.5191) pep + (2.8328) pyr + (0.8977) r5p --&gt; (55.703) adp + (3.7478)</t>
  </si>
  <si>
    <t xml:space="preserve">Sim no. </t>
  </si>
  <si>
    <t xml:space="preserve">Main carbon substrate </t>
  </si>
  <si>
    <t xml:space="preserve">Flux through bof (hr-1) </t>
  </si>
  <si>
    <t xml:space="preserve">Flux through atpm (hr-1) </t>
  </si>
  <si>
    <t xml:space="preserve">D-glucose </t>
  </si>
  <si>
    <t xml:space="preserve">Yes </t>
  </si>
  <si>
    <t xml:space="preserve">D-lactate </t>
  </si>
  <si>
    <t xml:space="preserve">Succinate </t>
  </si>
  <si>
    <t xml:space="preserve">2-oxoglutarate </t>
  </si>
  <si>
    <t xml:space="preserve">No </t>
  </si>
  <si>
    <t xml:space="preserve">Loss of function mutation </t>
  </si>
  <si>
    <t xml:space="preserve">Pck </t>
  </si>
  <si>
    <t xml:space="preserve">Tpi </t>
  </si>
  <si>
    <t>AtpF0</t>
  </si>
  <si>
    <t>3pg, accoa, akg, atp, e4p, f6p, g3p, g6p, h2o, nad, nadph, oaa, pep, pyr, r5p</t>
  </si>
  <si>
    <t xml:space="preserve">Aerobic growth </t>
  </si>
  <si>
    <t xml:space="preserve">Substrate uptake rate (mmol/hr) </t>
  </si>
  <si>
    <t>NaN</t>
  </si>
  <si>
    <r>
      <t>Y</t>
    </r>
    <r>
      <rPr>
        <vertAlign val="subscript"/>
        <sz val="8"/>
        <color indexed="8"/>
        <rFont val="Arial"/>
        <family val="2"/>
      </rPr>
      <t>biomass</t>
    </r>
  </si>
  <si>
    <r>
      <t>Y</t>
    </r>
    <r>
      <rPr>
        <vertAlign val="subscript"/>
        <sz val="8"/>
        <color indexed="8"/>
        <rFont val="Arial"/>
        <family val="2"/>
      </rPr>
      <t>atp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</si>
</sst>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/>
    <xf numFmtId="0" fontId="0" fillId="0" borderId="13" xfId="0" applyBorder="1"/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6" fillId="0" borderId="0" xfId="0" applyFont="1"/>
    <xf numFmtId="164" fontId="1" fillId="0" borderId="6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64"/>
  <sheetViews>
    <sheetView topLeftCell="BR29" zoomScale="130" zoomScaleNormal="130" workbookViewId="0">
      <selection activeCell="BZ64" sqref="BZ64"/>
    </sheetView>
  </sheetViews>
  <sheetFormatPr defaultColWidth="8.85546875" defaultRowHeight="12.75" x14ac:dyDescent="0.2"/>
  <cols>
    <col min="1" max="1" width="12.7109375" customWidth="1"/>
  </cols>
  <sheetData>
    <row r="1" spans="1:78" x14ac:dyDescent="0.2">
      <c r="A1" t="s">
        <v>90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0</v>
      </c>
      <c r="BM1" t="s">
        <v>1</v>
      </c>
      <c r="BN1" t="s">
        <v>2</v>
      </c>
      <c r="BO1" t="s">
        <v>3</v>
      </c>
      <c r="BP1" t="s">
        <v>4</v>
      </c>
      <c r="BQ1" t="s">
        <v>5</v>
      </c>
      <c r="BR1" t="s">
        <v>6</v>
      </c>
      <c r="BS1" t="s">
        <v>7</v>
      </c>
      <c r="BT1" t="s">
        <v>8</v>
      </c>
      <c r="BU1" t="s">
        <v>9</v>
      </c>
      <c r="BV1" t="s">
        <v>10</v>
      </c>
      <c r="BW1" t="s">
        <v>11</v>
      </c>
      <c r="BX1" t="s">
        <v>12</v>
      </c>
      <c r="BY1" t="s">
        <v>13</v>
      </c>
      <c r="BZ1" t="s">
        <v>505</v>
      </c>
    </row>
    <row r="2" spans="1:78" x14ac:dyDescent="0.2">
      <c r="A2" t="s">
        <v>390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</row>
    <row r="3" spans="1:78" x14ac:dyDescent="0.2">
      <c r="A3" t="s">
        <v>393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-1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 x14ac:dyDescent="0.2">
      <c r="A4" t="s">
        <v>395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-1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-1.496</v>
      </c>
    </row>
    <row r="5" spans="1:78" x14ac:dyDescent="0.2">
      <c r="A5" t="s">
        <v>397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 x14ac:dyDescent="0.2">
      <c r="A6" t="s">
        <v>399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-1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</row>
    <row r="7" spans="1:78" x14ac:dyDescent="0.2">
      <c r="A7" t="s">
        <v>401</v>
      </c>
      <c r="B7">
        <v>-1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</row>
    <row r="8" spans="1:78" x14ac:dyDescent="0.2">
      <c r="A8" t="s">
        <v>405</v>
      </c>
      <c r="B8">
        <v>0</v>
      </c>
      <c r="C8">
        <v>0</v>
      </c>
      <c r="D8">
        <v>0</v>
      </c>
      <c r="E8">
        <v>-1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-1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-3.7477999999999998</v>
      </c>
    </row>
    <row r="9" spans="1:78" x14ac:dyDescent="0.2">
      <c r="A9" t="s">
        <v>407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</row>
    <row r="10" spans="1:78" x14ac:dyDescent="0.2">
      <c r="A10" t="s">
        <v>409</v>
      </c>
      <c r="B10">
        <v>1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1</v>
      </c>
      <c r="J10">
        <v>-1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-1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55.703000000000003</v>
      </c>
    </row>
    <row r="11" spans="1:78" x14ac:dyDescent="0.2">
      <c r="A11" t="s">
        <v>411</v>
      </c>
      <c r="B11">
        <v>0</v>
      </c>
      <c r="C11">
        <v>0</v>
      </c>
      <c r="D11">
        <v>0</v>
      </c>
      <c r="E11">
        <v>0</v>
      </c>
      <c r="F11">
        <v>0</v>
      </c>
      <c r="G11">
        <v>-1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-1.0789</v>
      </c>
    </row>
    <row r="12" spans="1:78" x14ac:dyDescent="0.2">
      <c r="A12" t="s">
        <v>414</v>
      </c>
      <c r="B12">
        <v>0</v>
      </c>
      <c r="C12">
        <v>0</v>
      </c>
      <c r="D12">
        <v>0</v>
      </c>
      <c r="E12">
        <v>0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 x14ac:dyDescent="0.2">
      <c r="A13" t="s">
        <v>416</v>
      </c>
      <c r="B13">
        <v>-1</v>
      </c>
      <c r="C13">
        <v>0</v>
      </c>
      <c r="D13">
        <v>0</v>
      </c>
      <c r="E13">
        <v>0</v>
      </c>
      <c r="F13">
        <v>-1</v>
      </c>
      <c r="G13">
        <v>0</v>
      </c>
      <c r="H13">
        <v>0</v>
      </c>
      <c r="I13">
        <v>-1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-1</v>
      </c>
      <c r="AN13">
        <v>0</v>
      </c>
      <c r="AO13">
        <v>0</v>
      </c>
      <c r="AP13">
        <v>-1</v>
      </c>
      <c r="AQ13">
        <v>0</v>
      </c>
      <c r="AR13">
        <v>0</v>
      </c>
      <c r="AS13">
        <v>0</v>
      </c>
      <c r="AT13">
        <v>0</v>
      </c>
      <c r="AU13">
        <v>-1</v>
      </c>
      <c r="AV13">
        <v>-1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-1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-55.703000000000003</v>
      </c>
    </row>
    <row r="14" spans="1:78" x14ac:dyDescent="0.2">
      <c r="A14" t="s">
        <v>418</v>
      </c>
      <c r="B14">
        <v>0</v>
      </c>
      <c r="C14">
        <v>-1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 x14ac:dyDescent="0.2">
      <c r="A15" t="s">
        <v>420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-1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 x14ac:dyDescent="0.2">
      <c r="A16" t="s">
        <v>423</v>
      </c>
      <c r="B16">
        <v>0</v>
      </c>
      <c r="C16">
        <v>0</v>
      </c>
      <c r="D16">
        <v>0</v>
      </c>
      <c r="E16">
        <v>1</v>
      </c>
      <c r="F16">
        <v>0</v>
      </c>
      <c r="G16">
        <v>-1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-1</v>
      </c>
      <c r="AM16">
        <v>0</v>
      </c>
      <c r="AN16">
        <v>-1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3.7477999999999998</v>
      </c>
    </row>
    <row r="17" spans="1:78" x14ac:dyDescent="0.2">
      <c r="A17" t="s">
        <v>425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-1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</row>
    <row r="18" spans="1:78" x14ac:dyDescent="0.2">
      <c r="A18" t="s">
        <v>427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-1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-0.36099999999999999</v>
      </c>
    </row>
    <row r="19" spans="1:78" x14ac:dyDescent="0.2">
      <c r="A19" t="s">
        <v>429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</row>
    <row r="20" spans="1:78" x14ac:dyDescent="0.2">
      <c r="A20" t="s">
        <v>432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-1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-7.0900000000000005E-2</v>
      </c>
    </row>
    <row r="21" spans="1:78" x14ac:dyDescent="0.2">
      <c r="A21" t="s">
        <v>434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-1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</row>
    <row r="22" spans="1:78" x14ac:dyDescent="0.2">
      <c r="A22" t="s">
        <v>436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-1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</row>
    <row r="23" spans="1:78" x14ac:dyDescent="0.2">
      <c r="A23" t="s">
        <v>438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-1</v>
      </c>
      <c r="R23">
        <v>-1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</row>
    <row r="24" spans="1:78" x14ac:dyDescent="0.2">
      <c r="A24" t="s">
        <v>440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</row>
    <row r="25" spans="1:78" x14ac:dyDescent="0.2">
      <c r="A25" t="s">
        <v>443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</v>
      </c>
      <c r="U25">
        <v>-1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</row>
    <row r="26" spans="1:78" x14ac:dyDescent="0.2">
      <c r="A26" t="s">
        <v>446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-1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-0.129</v>
      </c>
    </row>
    <row r="27" spans="1:78" x14ac:dyDescent="0.2">
      <c r="A27" t="s">
        <v>448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-1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-1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-0.20499999999999999</v>
      </c>
    </row>
    <row r="28" spans="1:78" x14ac:dyDescent="0.2">
      <c r="A28" t="s">
        <v>452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-1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</row>
    <row r="29" spans="1:78" x14ac:dyDescent="0.2">
      <c r="A29" t="s">
        <v>454</v>
      </c>
      <c r="B29">
        <v>0</v>
      </c>
      <c r="C29">
        <v>0</v>
      </c>
      <c r="D29">
        <v>1</v>
      </c>
      <c r="E29">
        <v>-2</v>
      </c>
      <c r="F29">
        <v>0</v>
      </c>
      <c r="G29">
        <v>0</v>
      </c>
      <c r="H29">
        <v>1</v>
      </c>
      <c r="I29">
        <v>1</v>
      </c>
      <c r="J29">
        <v>3</v>
      </c>
      <c r="K29">
        <v>0</v>
      </c>
      <c r="L29">
        <v>1</v>
      </c>
      <c r="M29">
        <v>-2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2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-3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2</v>
      </c>
      <c r="AW29">
        <v>0</v>
      </c>
      <c r="AX29">
        <v>-1</v>
      </c>
      <c r="AY29">
        <v>1</v>
      </c>
      <c r="AZ29">
        <v>0</v>
      </c>
      <c r="BA29">
        <v>0</v>
      </c>
      <c r="BB29">
        <v>2</v>
      </c>
      <c r="BC29">
        <v>-1</v>
      </c>
      <c r="BD29">
        <v>0</v>
      </c>
      <c r="BE29">
        <v>0</v>
      </c>
      <c r="BF29">
        <v>0</v>
      </c>
      <c r="BG29">
        <v>0</v>
      </c>
      <c r="BH29">
        <v>2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41.024999999999999</v>
      </c>
    </row>
    <row r="30" spans="1:78" x14ac:dyDescent="0.2">
      <c r="A30" t="s">
        <v>456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-1</v>
      </c>
      <c r="J30">
        <v>1</v>
      </c>
      <c r="K30">
        <v>0</v>
      </c>
      <c r="L30">
        <v>-1</v>
      </c>
      <c r="M30">
        <v>1</v>
      </c>
      <c r="N30">
        <v>0</v>
      </c>
      <c r="O30">
        <v>1</v>
      </c>
      <c r="P30">
        <v>0</v>
      </c>
      <c r="Q30">
        <v>0</v>
      </c>
      <c r="R30">
        <v>-1</v>
      </c>
      <c r="S30">
        <v>0</v>
      </c>
      <c r="T30">
        <v>0</v>
      </c>
      <c r="U30">
        <v>-1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-1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-1</v>
      </c>
      <c r="AR30">
        <v>0</v>
      </c>
      <c r="AS30">
        <v>0</v>
      </c>
      <c r="AT30">
        <v>-1</v>
      </c>
      <c r="AU30">
        <v>0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-55.703000000000003</v>
      </c>
    </row>
    <row r="31" spans="1:78" x14ac:dyDescent="0.2">
      <c r="A31" t="s">
        <v>460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-1</v>
      </c>
      <c r="AC31">
        <v>-1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</row>
    <row r="32" spans="1:78" x14ac:dyDescent="0.2">
      <c r="A32" t="s">
        <v>462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-1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</row>
    <row r="33" spans="1:78" x14ac:dyDescent="0.2">
      <c r="A33" t="s">
        <v>465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-1</v>
      </c>
      <c r="AG33">
        <v>-1</v>
      </c>
      <c r="AH33">
        <v>-1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</row>
    <row r="34" spans="1:78" x14ac:dyDescent="0.2">
      <c r="A34" t="s">
        <v>467</v>
      </c>
      <c r="B34">
        <v>0</v>
      </c>
      <c r="C34">
        <v>0</v>
      </c>
      <c r="D34">
        <v>0</v>
      </c>
      <c r="E34">
        <v>2</v>
      </c>
      <c r="F34">
        <v>0</v>
      </c>
      <c r="G34">
        <v>-1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-1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-1</v>
      </c>
      <c r="AE34">
        <v>0</v>
      </c>
      <c r="AF34">
        <v>-1</v>
      </c>
      <c r="AG34">
        <v>-1</v>
      </c>
      <c r="AH34">
        <v>0</v>
      </c>
      <c r="AI34">
        <v>1</v>
      </c>
      <c r="AJ34">
        <v>-1</v>
      </c>
      <c r="AK34">
        <v>0</v>
      </c>
      <c r="AL34">
        <v>-1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-3.5470000000000002</v>
      </c>
    </row>
    <row r="35" spans="1:78" x14ac:dyDescent="0.2">
      <c r="A35" t="s">
        <v>469</v>
      </c>
      <c r="B35">
        <v>0</v>
      </c>
      <c r="C35">
        <v>0</v>
      </c>
      <c r="D35">
        <v>0</v>
      </c>
      <c r="E35">
        <v>-2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-1</v>
      </c>
      <c r="AJ35">
        <v>1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-1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3.5470000000000002</v>
      </c>
    </row>
    <row r="36" spans="1:78" x14ac:dyDescent="0.2">
      <c r="A36" t="s">
        <v>471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-1</v>
      </c>
      <c r="X36">
        <v>0</v>
      </c>
      <c r="Y36">
        <v>0</v>
      </c>
      <c r="Z36">
        <v>-1</v>
      </c>
      <c r="AA36">
        <v>0</v>
      </c>
      <c r="AB36">
        <v>-1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-1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-1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18.225000000000001</v>
      </c>
    </row>
    <row r="37" spans="1:78" x14ac:dyDescent="0.2">
      <c r="A37" t="s">
        <v>473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-1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-18.225000000000001</v>
      </c>
    </row>
    <row r="38" spans="1:78" x14ac:dyDescent="0.2">
      <c r="A38" t="s">
        <v>475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-0.5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</row>
    <row r="39" spans="1:78" x14ac:dyDescent="0.2">
      <c r="A39" t="s">
        <v>478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-1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-1.7867</v>
      </c>
    </row>
    <row r="40" spans="1:78" x14ac:dyDescent="0.2">
      <c r="A40" t="s">
        <v>480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-1</v>
      </c>
      <c r="AU40">
        <v>1</v>
      </c>
      <c r="AV40">
        <v>1</v>
      </c>
      <c r="AW40">
        <v>0</v>
      </c>
      <c r="AX40">
        <v>-1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-0.51910000000000001</v>
      </c>
    </row>
    <row r="41" spans="1:78" x14ac:dyDescent="0.2">
      <c r="A41" t="s">
        <v>482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-1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-1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-1</v>
      </c>
      <c r="AT41">
        <v>1</v>
      </c>
      <c r="AU41">
        <v>0</v>
      </c>
      <c r="AV41">
        <v>1</v>
      </c>
      <c r="AW41">
        <v>-1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55.703000000000003</v>
      </c>
    </row>
    <row r="42" spans="1:78" x14ac:dyDescent="0.2">
      <c r="A42" t="s">
        <v>485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-1</v>
      </c>
      <c r="AM42">
        <v>0</v>
      </c>
      <c r="AN42">
        <v>-1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-1</v>
      </c>
      <c r="AW42">
        <v>0</v>
      </c>
      <c r="AX42">
        <v>1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-2.8328000000000002</v>
      </c>
    </row>
    <row r="43" spans="1:78" x14ac:dyDescent="0.2">
      <c r="A43" t="s">
        <v>488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-1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-1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</row>
    <row r="44" spans="1:78" x14ac:dyDescent="0.2">
      <c r="A44" t="s">
        <v>490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-1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</row>
    <row r="45" spans="1:78" x14ac:dyDescent="0.2">
      <c r="A45" t="s">
        <v>492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-1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-1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-0.89770000000000005</v>
      </c>
    </row>
    <row r="46" spans="1:78" x14ac:dyDescent="0.2">
      <c r="A46" t="s">
        <v>494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-1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</row>
    <row r="47" spans="1:78" x14ac:dyDescent="0.2">
      <c r="A47" t="s">
        <v>496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-1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</row>
    <row r="48" spans="1:78" x14ac:dyDescent="0.2">
      <c r="A48" t="s">
        <v>498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-1</v>
      </c>
      <c r="BD48">
        <v>-1</v>
      </c>
      <c r="BE48">
        <v>0</v>
      </c>
      <c r="BF48">
        <v>-1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 x14ac:dyDescent="0.2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</row>
    <row r="50" spans="1:78" x14ac:dyDescent="0.2">
      <c r="A50" t="s">
        <v>503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-1</v>
      </c>
      <c r="BJ50">
        <v>-1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</row>
    <row r="51" spans="1:78" x14ac:dyDescent="0.2">
      <c r="A51" t="s">
        <v>76</v>
      </c>
      <c r="B51">
        <v>0</v>
      </c>
      <c r="C51">
        <v>0</v>
      </c>
      <c r="D51">
        <v>-1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</row>
    <row r="52" spans="1:78" x14ac:dyDescent="0.2">
      <c r="A52" t="s">
        <v>77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-1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</row>
    <row r="53" spans="1:78" x14ac:dyDescent="0.2">
      <c r="A53" t="s">
        <v>78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-1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-1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</row>
    <row r="54" spans="1:78" x14ac:dyDescent="0.2">
      <c r="A54" t="s">
        <v>79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-1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-1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</row>
    <row r="55" spans="1:78" x14ac:dyDescent="0.2">
      <c r="A55" t="s">
        <v>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-1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-1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</row>
    <row r="56" spans="1:78" x14ac:dyDescent="0.2">
      <c r="A56" t="s">
        <v>81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-1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</row>
    <row r="57" spans="1:78" x14ac:dyDescent="0.2">
      <c r="A57" t="s">
        <v>82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-1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</row>
    <row r="58" spans="1:78" x14ac:dyDescent="0.2">
      <c r="A58" t="s">
        <v>83</v>
      </c>
      <c r="B58">
        <v>0</v>
      </c>
      <c r="C58">
        <v>0</v>
      </c>
      <c r="D58">
        <v>-1</v>
      </c>
      <c r="E58">
        <v>0</v>
      </c>
      <c r="F58">
        <v>0</v>
      </c>
      <c r="G58">
        <v>0</v>
      </c>
      <c r="H58">
        <v>-1</v>
      </c>
      <c r="I58">
        <v>0</v>
      </c>
      <c r="J58">
        <v>-4</v>
      </c>
      <c r="K58">
        <v>0</v>
      </c>
      <c r="L58">
        <v>0</v>
      </c>
      <c r="M58">
        <v>2</v>
      </c>
      <c r="N58">
        <v>-1</v>
      </c>
      <c r="O58">
        <v>0</v>
      </c>
      <c r="P58">
        <v>-1</v>
      </c>
      <c r="Q58">
        <v>0</v>
      </c>
      <c r="R58">
        <v>0</v>
      </c>
      <c r="S58">
        <v>0</v>
      </c>
      <c r="T58">
        <v>0</v>
      </c>
      <c r="U58">
        <v>0</v>
      </c>
      <c r="V58">
        <v>-2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-1</v>
      </c>
      <c r="AZ58">
        <v>0</v>
      </c>
      <c r="BA58">
        <v>0</v>
      </c>
      <c r="BB58">
        <v>-2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-2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-1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</row>
    <row r="59" spans="1:78" x14ac:dyDescent="0.2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-1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-1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</row>
    <row r="60" spans="1:78" x14ac:dyDescent="0.2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-1</v>
      </c>
      <c r="BV60">
        <v>0</v>
      </c>
      <c r="BW60">
        <v>0</v>
      </c>
      <c r="BX60">
        <v>0</v>
      </c>
      <c r="BY60">
        <v>0</v>
      </c>
      <c r="BZ60">
        <v>0</v>
      </c>
    </row>
    <row r="61" spans="1:78" x14ac:dyDescent="0.2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-1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-1</v>
      </c>
      <c r="BW61">
        <v>0</v>
      </c>
      <c r="BX61">
        <v>0</v>
      </c>
      <c r="BY61">
        <v>0</v>
      </c>
      <c r="BZ61">
        <v>0</v>
      </c>
    </row>
    <row r="62" spans="1:78" x14ac:dyDescent="0.2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-1</v>
      </c>
      <c r="BX62">
        <v>0</v>
      </c>
      <c r="BY62">
        <v>0</v>
      </c>
      <c r="BZ62">
        <v>0</v>
      </c>
    </row>
    <row r="63" spans="1:78" x14ac:dyDescent="0.2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-1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-1</v>
      </c>
      <c r="BY63">
        <v>0</v>
      </c>
      <c r="BZ63">
        <v>0</v>
      </c>
    </row>
    <row r="64" spans="1:78" x14ac:dyDescent="0.2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-1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-1</v>
      </c>
      <c r="BZ64">
        <v>0</v>
      </c>
    </row>
  </sheetData>
  <phoneticPr fontId="1" type="noConversion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8"/>
  <sheetViews>
    <sheetView topLeftCell="A47" zoomScale="115" zoomScaleNormal="115" workbookViewId="0">
      <selection activeCell="J75" sqref="J75"/>
    </sheetView>
  </sheetViews>
  <sheetFormatPr defaultColWidth="8.85546875" defaultRowHeight="12.75" x14ac:dyDescent="0.2"/>
  <cols>
    <col min="1" max="1" width="20.85546875" bestFit="1" customWidth="1"/>
    <col min="2" max="2" width="13" customWidth="1"/>
  </cols>
  <sheetData>
    <row r="1" spans="1:5" x14ac:dyDescent="0.2">
      <c r="A1" s="2" t="s">
        <v>93</v>
      </c>
      <c r="B1" s="2" t="s">
        <v>91</v>
      </c>
      <c r="C1" s="2" t="s">
        <v>92</v>
      </c>
    </row>
    <row r="2" spans="1:5" x14ac:dyDescent="0.2">
      <c r="A2" t="s">
        <v>14</v>
      </c>
      <c r="B2">
        <v>-1000</v>
      </c>
      <c r="C2">
        <v>1000</v>
      </c>
    </row>
    <row r="3" spans="1:5" x14ac:dyDescent="0.2">
      <c r="A3" t="s">
        <v>15</v>
      </c>
      <c r="B3">
        <v>-1000</v>
      </c>
      <c r="C3">
        <v>1000</v>
      </c>
    </row>
    <row r="4" spans="1:5" x14ac:dyDescent="0.2">
      <c r="A4" t="s">
        <v>16</v>
      </c>
      <c r="B4">
        <v>-1000</v>
      </c>
      <c r="C4">
        <v>1000</v>
      </c>
    </row>
    <row r="5" spans="1:5" x14ac:dyDescent="0.2">
      <c r="A5" t="s">
        <v>17</v>
      </c>
      <c r="B5">
        <v>-1000</v>
      </c>
      <c r="C5">
        <v>1000</v>
      </c>
    </row>
    <row r="6" spans="1:5" x14ac:dyDescent="0.2">
      <c r="A6" t="s">
        <v>18</v>
      </c>
      <c r="B6">
        <v>-1000</v>
      </c>
      <c r="C6">
        <v>1000</v>
      </c>
      <c r="E6" t="s">
        <v>94</v>
      </c>
    </row>
    <row r="7" spans="1:5" x14ac:dyDescent="0.2">
      <c r="A7" t="s">
        <v>19</v>
      </c>
      <c r="B7">
        <v>0</v>
      </c>
      <c r="C7">
        <v>1000</v>
      </c>
    </row>
    <row r="8" spans="1:5" x14ac:dyDescent="0.2">
      <c r="A8" t="s">
        <v>20</v>
      </c>
      <c r="B8">
        <v>-1000</v>
      </c>
      <c r="C8">
        <v>1000</v>
      </c>
    </row>
    <row r="9" spans="1:5" x14ac:dyDescent="0.2">
      <c r="A9" t="s">
        <v>21</v>
      </c>
      <c r="B9">
        <v>8</v>
      </c>
      <c r="C9">
        <v>1000</v>
      </c>
    </row>
    <row r="10" spans="1:5" x14ac:dyDescent="0.2">
      <c r="A10" t="s">
        <v>22</v>
      </c>
      <c r="B10">
        <v>-1000</v>
      </c>
      <c r="C10">
        <v>1000</v>
      </c>
    </row>
    <row r="11" spans="1:5" x14ac:dyDescent="0.2">
      <c r="A11" t="s">
        <v>23</v>
      </c>
      <c r="B11">
        <v>-1000</v>
      </c>
      <c r="C11">
        <v>1000</v>
      </c>
    </row>
    <row r="12" spans="1:5" x14ac:dyDescent="0.2">
      <c r="A12" t="s">
        <v>24</v>
      </c>
      <c r="B12">
        <v>0</v>
      </c>
      <c r="C12">
        <v>1000</v>
      </c>
    </row>
    <row r="13" spans="1:5" x14ac:dyDescent="0.2">
      <c r="A13" t="s">
        <v>25</v>
      </c>
      <c r="B13">
        <v>0</v>
      </c>
      <c r="C13">
        <v>1000</v>
      </c>
    </row>
    <row r="14" spans="1:5" x14ac:dyDescent="0.2">
      <c r="A14" t="s">
        <v>26</v>
      </c>
      <c r="B14">
        <v>-1000</v>
      </c>
      <c r="C14">
        <v>1000</v>
      </c>
    </row>
    <row r="15" spans="1:5" x14ac:dyDescent="0.2">
      <c r="A15" t="s">
        <v>27</v>
      </c>
      <c r="B15">
        <v>-1000</v>
      </c>
      <c r="C15">
        <v>1000</v>
      </c>
    </row>
    <row r="16" spans="1:5" x14ac:dyDescent="0.2">
      <c r="A16" t="s">
        <v>28</v>
      </c>
      <c r="B16">
        <v>-1000</v>
      </c>
      <c r="C16">
        <v>1000</v>
      </c>
    </row>
    <row r="17" spans="1:3" x14ac:dyDescent="0.2">
      <c r="A17" t="s">
        <v>29</v>
      </c>
      <c r="B17">
        <v>-1000</v>
      </c>
      <c r="C17">
        <v>1000</v>
      </c>
    </row>
    <row r="18" spans="1:3" x14ac:dyDescent="0.2">
      <c r="A18" t="s">
        <v>30</v>
      </c>
      <c r="B18">
        <v>0</v>
      </c>
      <c r="C18">
        <v>1000</v>
      </c>
    </row>
    <row r="19" spans="1:3" x14ac:dyDescent="0.2">
      <c r="A19" t="s">
        <v>31</v>
      </c>
      <c r="B19">
        <v>-1000</v>
      </c>
      <c r="C19">
        <v>1000</v>
      </c>
    </row>
    <row r="20" spans="1:3" x14ac:dyDescent="0.2">
      <c r="A20" t="s">
        <v>32</v>
      </c>
      <c r="B20">
        <v>0</v>
      </c>
      <c r="C20">
        <v>1000</v>
      </c>
    </row>
    <row r="21" spans="1:3" x14ac:dyDescent="0.2">
      <c r="A21" t="s">
        <v>33</v>
      </c>
      <c r="B21">
        <v>-1000</v>
      </c>
      <c r="C21">
        <v>1000</v>
      </c>
    </row>
    <row r="22" spans="1:3" x14ac:dyDescent="0.2">
      <c r="A22" t="s">
        <v>34</v>
      </c>
      <c r="B22">
        <v>0</v>
      </c>
      <c r="C22">
        <v>1000</v>
      </c>
    </row>
    <row r="23" spans="1:3" x14ac:dyDescent="0.2">
      <c r="A23" t="s">
        <v>35</v>
      </c>
      <c r="B23">
        <v>-1000</v>
      </c>
      <c r="C23">
        <v>1000</v>
      </c>
    </row>
    <row r="24" spans="1:3" x14ac:dyDescent="0.2">
      <c r="A24" t="s">
        <v>36</v>
      </c>
      <c r="B24">
        <v>-1000</v>
      </c>
      <c r="C24">
        <v>1000</v>
      </c>
    </row>
    <row r="25" spans="1:3" x14ac:dyDescent="0.2">
      <c r="A25" t="s">
        <v>37</v>
      </c>
      <c r="B25">
        <v>0</v>
      </c>
      <c r="C25">
        <v>1000</v>
      </c>
    </row>
    <row r="26" spans="1:3" x14ac:dyDescent="0.2">
      <c r="A26" t="s">
        <v>38</v>
      </c>
      <c r="B26">
        <v>0</v>
      </c>
      <c r="C26">
        <v>1000</v>
      </c>
    </row>
    <row r="27" spans="1:3" x14ac:dyDescent="0.2">
      <c r="A27" t="s">
        <v>39</v>
      </c>
      <c r="B27">
        <v>-1000</v>
      </c>
      <c r="C27">
        <v>1000</v>
      </c>
    </row>
    <row r="28" spans="1:3" x14ac:dyDescent="0.2">
      <c r="A28" t="s">
        <v>40</v>
      </c>
      <c r="B28">
        <v>-1000</v>
      </c>
      <c r="C28">
        <v>1000</v>
      </c>
    </row>
    <row r="29" spans="1:3" x14ac:dyDescent="0.2">
      <c r="A29" t="s">
        <v>41</v>
      </c>
      <c r="B29">
        <v>0</v>
      </c>
      <c r="C29">
        <v>1000</v>
      </c>
    </row>
    <row r="30" spans="1:3" x14ac:dyDescent="0.2">
      <c r="A30" t="s">
        <v>42</v>
      </c>
      <c r="B30">
        <v>-1000</v>
      </c>
      <c r="C30">
        <v>1000</v>
      </c>
    </row>
    <row r="31" spans="1:3" x14ac:dyDescent="0.2">
      <c r="A31" t="s">
        <v>43</v>
      </c>
      <c r="B31">
        <v>0</v>
      </c>
      <c r="C31">
        <v>1000</v>
      </c>
    </row>
    <row r="32" spans="1:3" x14ac:dyDescent="0.2">
      <c r="A32" t="s">
        <v>44</v>
      </c>
      <c r="B32">
        <v>-1000</v>
      </c>
      <c r="C32">
        <v>1000</v>
      </c>
    </row>
    <row r="33" spans="1:3" x14ac:dyDescent="0.2">
      <c r="A33" t="s">
        <v>45</v>
      </c>
      <c r="B33">
        <v>0</v>
      </c>
      <c r="C33">
        <v>1000</v>
      </c>
    </row>
    <row r="34" spans="1:3" x14ac:dyDescent="0.2">
      <c r="A34" t="s">
        <v>46</v>
      </c>
      <c r="B34">
        <v>0</v>
      </c>
      <c r="C34">
        <v>1000</v>
      </c>
    </row>
    <row r="35" spans="1:3" x14ac:dyDescent="0.2">
      <c r="A35" t="s">
        <v>47</v>
      </c>
      <c r="B35">
        <v>0</v>
      </c>
      <c r="C35">
        <v>1000</v>
      </c>
    </row>
    <row r="36" spans="1:3" x14ac:dyDescent="0.2">
      <c r="A36" t="s">
        <v>48</v>
      </c>
      <c r="B36">
        <v>0</v>
      </c>
      <c r="C36">
        <v>1000</v>
      </c>
    </row>
    <row r="37" spans="1:3" x14ac:dyDescent="0.2">
      <c r="A37" t="s">
        <v>49</v>
      </c>
      <c r="B37">
        <v>-1000</v>
      </c>
      <c r="C37">
        <v>1000</v>
      </c>
    </row>
    <row r="38" spans="1:3" x14ac:dyDescent="0.2">
      <c r="A38" t="s">
        <v>50</v>
      </c>
      <c r="B38">
        <v>0</v>
      </c>
      <c r="C38">
        <v>1000</v>
      </c>
    </row>
    <row r="39" spans="1:3" x14ac:dyDescent="0.2">
      <c r="A39" t="s">
        <v>51</v>
      </c>
      <c r="B39">
        <v>0</v>
      </c>
      <c r="C39">
        <v>1000</v>
      </c>
    </row>
    <row r="40" spans="1:3" x14ac:dyDescent="0.2">
      <c r="A40" t="s">
        <v>52</v>
      </c>
      <c r="B40">
        <v>0</v>
      </c>
      <c r="C40">
        <v>1000</v>
      </c>
    </row>
    <row r="41" spans="1:3" x14ac:dyDescent="0.2">
      <c r="A41" t="s">
        <v>53</v>
      </c>
      <c r="B41">
        <v>-1000</v>
      </c>
      <c r="C41">
        <v>1000</v>
      </c>
    </row>
    <row r="42" spans="1:3" x14ac:dyDescent="0.2">
      <c r="A42" t="s">
        <v>54</v>
      </c>
      <c r="B42">
        <v>-1000</v>
      </c>
      <c r="C42">
        <v>1000</v>
      </c>
    </row>
    <row r="43" spans="1:3" x14ac:dyDescent="0.2">
      <c r="A43" t="s">
        <v>55</v>
      </c>
      <c r="B43">
        <v>0</v>
      </c>
      <c r="C43">
        <v>1000</v>
      </c>
    </row>
    <row r="44" spans="1:3" x14ac:dyDescent="0.2">
      <c r="A44" t="s">
        <v>56</v>
      </c>
      <c r="B44">
        <v>-1000</v>
      </c>
      <c r="C44">
        <v>1000</v>
      </c>
    </row>
    <row r="45" spans="1:3" x14ac:dyDescent="0.2">
      <c r="A45" t="s">
        <v>57</v>
      </c>
      <c r="B45">
        <v>-1000</v>
      </c>
      <c r="C45">
        <v>1000</v>
      </c>
    </row>
    <row r="46" spans="1:3" x14ac:dyDescent="0.2">
      <c r="A46" t="s">
        <v>58</v>
      </c>
      <c r="B46">
        <v>0</v>
      </c>
      <c r="C46">
        <v>1000</v>
      </c>
    </row>
    <row r="47" spans="1:3" x14ac:dyDescent="0.2">
      <c r="A47" t="s">
        <v>59</v>
      </c>
      <c r="B47">
        <v>0</v>
      </c>
      <c r="C47">
        <v>1000</v>
      </c>
    </row>
    <row r="48" spans="1:3" x14ac:dyDescent="0.2">
      <c r="A48" t="s">
        <v>60</v>
      </c>
      <c r="B48">
        <v>0</v>
      </c>
      <c r="C48">
        <v>1000</v>
      </c>
    </row>
    <row r="49" spans="1:3" x14ac:dyDescent="0.2">
      <c r="A49" t="s">
        <v>61</v>
      </c>
      <c r="B49">
        <v>-1000</v>
      </c>
      <c r="C49">
        <v>1000</v>
      </c>
    </row>
    <row r="50" spans="1:3" x14ac:dyDescent="0.2">
      <c r="A50" t="s">
        <v>62</v>
      </c>
      <c r="B50">
        <v>0</v>
      </c>
      <c r="C50">
        <v>1000</v>
      </c>
    </row>
    <row r="51" spans="1:3" x14ac:dyDescent="0.2">
      <c r="A51" t="s">
        <v>63</v>
      </c>
      <c r="B51">
        <v>-1000</v>
      </c>
      <c r="C51">
        <v>1000</v>
      </c>
    </row>
    <row r="52" spans="1:3" x14ac:dyDescent="0.2">
      <c r="A52" t="s">
        <v>64</v>
      </c>
      <c r="B52">
        <v>-1000</v>
      </c>
      <c r="C52">
        <v>1000</v>
      </c>
    </row>
    <row r="53" spans="1:3" x14ac:dyDescent="0.2">
      <c r="A53" t="s">
        <v>65</v>
      </c>
      <c r="B53">
        <v>-1000</v>
      </c>
      <c r="C53">
        <v>1000</v>
      </c>
    </row>
    <row r="54" spans="1:3" x14ac:dyDescent="0.2">
      <c r="A54" t="s">
        <v>66</v>
      </c>
      <c r="B54">
        <v>0</v>
      </c>
      <c r="C54">
        <v>1000</v>
      </c>
    </row>
    <row r="55" spans="1:3" x14ac:dyDescent="0.2">
      <c r="A55" t="s">
        <v>67</v>
      </c>
      <c r="B55">
        <v>0</v>
      </c>
      <c r="C55">
        <v>1000</v>
      </c>
    </row>
    <row r="56" spans="1:3" x14ac:dyDescent="0.2">
      <c r="A56" t="s">
        <v>68</v>
      </c>
      <c r="B56">
        <v>0</v>
      </c>
      <c r="C56">
        <v>1000</v>
      </c>
    </row>
    <row r="57" spans="1:3" x14ac:dyDescent="0.2">
      <c r="A57" t="s">
        <v>69</v>
      </c>
      <c r="B57">
        <v>-1000</v>
      </c>
      <c r="C57">
        <v>1000</v>
      </c>
    </row>
    <row r="58" spans="1:3" x14ac:dyDescent="0.2">
      <c r="A58" t="s">
        <v>70</v>
      </c>
      <c r="B58">
        <v>-1000</v>
      </c>
      <c r="C58">
        <v>1000</v>
      </c>
    </row>
    <row r="59" spans="1:3" x14ac:dyDescent="0.2">
      <c r="A59" t="s">
        <v>71</v>
      </c>
      <c r="B59">
        <v>-1000</v>
      </c>
      <c r="C59">
        <v>1000</v>
      </c>
    </row>
    <row r="60" spans="1:3" x14ac:dyDescent="0.2">
      <c r="A60" t="s">
        <v>72</v>
      </c>
      <c r="B60">
        <v>0</v>
      </c>
      <c r="C60">
        <v>1000</v>
      </c>
    </row>
    <row r="61" spans="1:3" x14ac:dyDescent="0.2">
      <c r="A61" t="s">
        <v>73</v>
      </c>
      <c r="B61">
        <v>-1000</v>
      </c>
      <c r="C61">
        <v>1000</v>
      </c>
    </row>
    <row r="62" spans="1:3" x14ac:dyDescent="0.2">
      <c r="A62" t="s">
        <v>74</v>
      </c>
      <c r="B62">
        <v>-1000</v>
      </c>
      <c r="C62">
        <v>1000</v>
      </c>
    </row>
    <row r="63" spans="1:3" x14ac:dyDescent="0.2">
      <c r="A63" t="s">
        <v>75</v>
      </c>
      <c r="B63">
        <v>-1000</v>
      </c>
      <c r="C63">
        <v>1000</v>
      </c>
    </row>
    <row r="64" spans="1:3" x14ac:dyDescent="0.2">
      <c r="A64" t="s">
        <v>0</v>
      </c>
      <c r="B64">
        <v>0</v>
      </c>
      <c r="C64">
        <v>1000</v>
      </c>
    </row>
    <row r="65" spans="1:3" x14ac:dyDescent="0.2">
      <c r="A65" t="s">
        <v>1</v>
      </c>
      <c r="B65">
        <v>0</v>
      </c>
      <c r="C65">
        <v>1000</v>
      </c>
    </row>
    <row r="66" spans="1:3" x14ac:dyDescent="0.2">
      <c r="A66" t="s">
        <v>2</v>
      </c>
      <c r="B66">
        <v>0</v>
      </c>
      <c r="C66">
        <v>1000</v>
      </c>
    </row>
    <row r="67" spans="1:3" x14ac:dyDescent="0.2">
      <c r="A67" t="s">
        <v>3</v>
      </c>
      <c r="B67">
        <v>0</v>
      </c>
      <c r="C67">
        <v>1000</v>
      </c>
    </row>
    <row r="68" spans="1:3" x14ac:dyDescent="0.2">
      <c r="A68" t="s">
        <v>4</v>
      </c>
      <c r="B68">
        <v>0</v>
      </c>
      <c r="C68">
        <v>1000</v>
      </c>
    </row>
    <row r="69" spans="1:3" x14ac:dyDescent="0.2">
      <c r="A69" t="s">
        <v>5</v>
      </c>
      <c r="B69">
        <v>0</v>
      </c>
      <c r="C69">
        <v>1000</v>
      </c>
    </row>
    <row r="70" spans="1:3" x14ac:dyDescent="0.2">
      <c r="A70" t="s">
        <v>6</v>
      </c>
      <c r="B70">
        <v>-10</v>
      </c>
      <c r="C70">
        <v>1000</v>
      </c>
    </row>
    <row r="71" spans="1:3" x14ac:dyDescent="0.2">
      <c r="A71" t="s">
        <v>7</v>
      </c>
      <c r="B71">
        <v>-1000</v>
      </c>
      <c r="C71">
        <v>1000</v>
      </c>
    </row>
    <row r="72" spans="1:3" x14ac:dyDescent="0.2">
      <c r="A72" t="s">
        <v>8</v>
      </c>
      <c r="B72">
        <v>-1000</v>
      </c>
      <c r="C72">
        <v>1000</v>
      </c>
    </row>
    <row r="73" spans="1:3" x14ac:dyDescent="0.2">
      <c r="A73" t="s">
        <v>9</v>
      </c>
      <c r="B73">
        <v>0</v>
      </c>
      <c r="C73">
        <v>1000</v>
      </c>
    </row>
    <row r="74" spans="1:3" x14ac:dyDescent="0.2">
      <c r="A74" t="s">
        <v>10</v>
      </c>
      <c r="B74">
        <v>-20</v>
      </c>
      <c r="C74">
        <v>1000</v>
      </c>
    </row>
    <row r="75" spans="1:3" x14ac:dyDescent="0.2">
      <c r="A75" s="27" t="s">
        <v>11</v>
      </c>
      <c r="B75">
        <v>-1000</v>
      </c>
      <c r="C75">
        <v>1000</v>
      </c>
    </row>
    <row r="76" spans="1:3" x14ac:dyDescent="0.2">
      <c r="A76" t="s">
        <v>12</v>
      </c>
      <c r="B76">
        <v>0</v>
      </c>
      <c r="C76">
        <v>1000</v>
      </c>
    </row>
    <row r="77" spans="1:3" x14ac:dyDescent="0.2">
      <c r="A77" t="s">
        <v>13</v>
      </c>
      <c r="B77">
        <v>0</v>
      </c>
      <c r="C77">
        <v>1000</v>
      </c>
    </row>
    <row r="78" spans="1:3" x14ac:dyDescent="0.2">
      <c r="A78" t="s">
        <v>505</v>
      </c>
      <c r="B78">
        <v>0</v>
      </c>
      <c r="C78">
        <v>1000</v>
      </c>
    </row>
  </sheetData>
  <phoneticPr fontId="1" type="noConversion"/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8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" sqref="E3"/>
    </sheetView>
  </sheetViews>
  <sheetFormatPr defaultColWidth="8.85546875" defaultRowHeight="12.75" x14ac:dyDescent="0.2"/>
  <cols>
    <col min="1" max="1" width="20.85546875" bestFit="1" customWidth="1"/>
    <col min="2" max="2" width="42.7109375" bestFit="1" customWidth="1"/>
    <col min="3" max="3" width="51.28515625" bestFit="1" customWidth="1"/>
    <col min="4" max="4" width="20.28515625" customWidth="1"/>
    <col min="5" max="5" width="20.42578125" bestFit="1" customWidth="1"/>
  </cols>
  <sheetData>
    <row r="1" spans="1:7" s="1" customFormat="1" x14ac:dyDescent="0.2">
      <c r="A1" s="1" t="s">
        <v>93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521</v>
      </c>
    </row>
    <row r="2" spans="1:7" x14ac:dyDescent="0.2">
      <c r="A2" t="s">
        <v>14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</row>
    <row r="3" spans="1:7" x14ac:dyDescent="0.2">
      <c r="A3" t="s">
        <v>15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</row>
    <row r="4" spans="1:7" x14ac:dyDescent="0.2">
      <c r="A4" t="s">
        <v>16</v>
      </c>
      <c r="B4" t="s">
        <v>110</v>
      </c>
      <c r="C4" t="s">
        <v>111</v>
      </c>
    </row>
    <row r="5" spans="1:7" x14ac:dyDescent="0.2">
      <c r="A5" t="s">
        <v>17</v>
      </c>
      <c r="B5" t="s">
        <v>112</v>
      </c>
      <c r="C5" t="s">
        <v>113</v>
      </c>
      <c r="D5" t="s">
        <v>114</v>
      </c>
      <c r="E5" t="s">
        <v>115</v>
      </c>
    </row>
    <row r="6" spans="1:7" x14ac:dyDescent="0.2">
      <c r="A6" t="s">
        <v>18</v>
      </c>
      <c r="B6" t="s">
        <v>116</v>
      </c>
      <c r="C6" t="s">
        <v>117</v>
      </c>
      <c r="D6" t="s">
        <v>118</v>
      </c>
      <c r="E6" t="s">
        <v>119</v>
      </c>
      <c r="F6" t="s">
        <v>120</v>
      </c>
    </row>
    <row r="7" spans="1:7" x14ac:dyDescent="0.2">
      <c r="A7" t="s">
        <v>19</v>
      </c>
      <c r="B7" t="s">
        <v>121</v>
      </c>
      <c r="C7" t="s">
        <v>122</v>
      </c>
      <c r="D7" t="s">
        <v>123</v>
      </c>
      <c r="E7" t="s">
        <v>124</v>
      </c>
    </row>
    <row r="8" spans="1:7" x14ac:dyDescent="0.2">
      <c r="A8" t="s">
        <v>20</v>
      </c>
      <c r="B8" t="s">
        <v>125</v>
      </c>
      <c r="C8" t="s">
        <v>126</v>
      </c>
      <c r="D8" t="s">
        <v>127</v>
      </c>
      <c r="E8" t="s">
        <v>128</v>
      </c>
    </row>
    <row r="9" spans="1:7" x14ac:dyDescent="0.2">
      <c r="A9" t="s">
        <v>21</v>
      </c>
      <c r="B9" t="s">
        <v>129</v>
      </c>
      <c r="C9" t="s">
        <v>130</v>
      </c>
    </row>
    <row r="10" spans="1:7" x14ac:dyDescent="0.2">
      <c r="A10" t="s">
        <v>22</v>
      </c>
      <c r="B10" t="s">
        <v>131</v>
      </c>
      <c r="C10" t="s">
        <v>132</v>
      </c>
      <c r="D10" t="s">
        <v>133</v>
      </c>
      <c r="E10" t="s">
        <v>134</v>
      </c>
      <c r="F10" t="s">
        <v>135</v>
      </c>
    </row>
    <row r="11" spans="1:7" x14ac:dyDescent="0.2">
      <c r="A11" t="s">
        <v>23</v>
      </c>
      <c r="B11" t="s">
        <v>136</v>
      </c>
      <c r="C11" t="s">
        <v>137</v>
      </c>
    </row>
    <row r="12" spans="1:7" x14ac:dyDescent="0.2">
      <c r="A12" t="s">
        <v>24</v>
      </c>
      <c r="B12" t="s">
        <v>138</v>
      </c>
      <c r="C12" t="s">
        <v>139</v>
      </c>
      <c r="D12" t="s">
        <v>140</v>
      </c>
      <c r="E12" t="s">
        <v>141</v>
      </c>
    </row>
    <row r="13" spans="1:7" x14ac:dyDescent="0.2">
      <c r="A13" t="s">
        <v>25</v>
      </c>
      <c r="B13" t="s">
        <v>142</v>
      </c>
      <c r="C13" t="s">
        <v>143</v>
      </c>
      <c r="D13" t="s">
        <v>144</v>
      </c>
      <c r="E13" t="s">
        <v>145</v>
      </c>
    </row>
    <row r="14" spans="1:7" x14ac:dyDescent="0.2">
      <c r="A14" t="s">
        <v>26</v>
      </c>
      <c r="B14" t="s">
        <v>146</v>
      </c>
      <c r="C14" t="s">
        <v>147</v>
      </c>
      <c r="D14" t="s">
        <v>148</v>
      </c>
      <c r="E14" t="s">
        <v>149</v>
      </c>
    </row>
    <row r="15" spans="1:7" x14ac:dyDescent="0.2">
      <c r="A15" t="s">
        <v>27</v>
      </c>
      <c r="B15" t="s">
        <v>150</v>
      </c>
      <c r="C15" t="s">
        <v>151</v>
      </c>
      <c r="D15" t="s">
        <v>152</v>
      </c>
      <c r="E15" t="s">
        <v>153</v>
      </c>
      <c r="F15" t="s">
        <v>154</v>
      </c>
    </row>
    <row r="16" spans="1:7" x14ac:dyDescent="0.2">
      <c r="A16" t="s">
        <v>28</v>
      </c>
      <c r="B16" t="s">
        <v>155</v>
      </c>
      <c r="C16" t="s">
        <v>156</v>
      </c>
    </row>
    <row r="17" spans="1:6" x14ac:dyDescent="0.2">
      <c r="A17" t="s">
        <v>29</v>
      </c>
      <c r="B17" t="s">
        <v>157</v>
      </c>
      <c r="C17" t="s">
        <v>158</v>
      </c>
      <c r="D17" t="s">
        <v>159</v>
      </c>
      <c r="E17" t="s">
        <v>160</v>
      </c>
      <c r="F17" t="s">
        <v>161</v>
      </c>
    </row>
    <row r="18" spans="1:6" x14ac:dyDescent="0.2">
      <c r="A18" t="s">
        <v>30</v>
      </c>
      <c r="B18" t="s">
        <v>162</v>
      </c>
      <c r="C18" t="s">
        <v>163</v>
      </c>
      <c r="D18" t="s">
        <v>164</v>
      </c>
      <c r="E18" t="s">
        <v>165</v>
      </c>
      <c r="F18" t="s">
        <v>166</v>
      </c>
    </row>
    <row r="19" spans="1:6" x14ac:dyDescent="0.2">
      <c r="A19" t="s">
        <v>31</v>
      </c>
      <c r="B19" t="s">
        <v>167</v>
      </c>
      <c r="C19" t="s">
        <v>168</v>
      </c>
      <c r="D19" t="s">
        <v>169</v>
      </c>
      <c r="E19" t="s">
        <v>170</v>
      </c>
    </row>
    <row r="20" spans="1:6" x14ac:dyDescent="0.2">
      <c r="A20" t="s">
        <v>32</v>
      </c>
      <c r="B20" t="s">
        <v>171</v>
      </c>
      <c r="C20" t="s">
        <v>172</v>
      </c>
      <c r="D20" t="s">
        <v>173</v>
      </c>
      <c r="E20" t="s">
        <v>174</v>
      </c>
      <c r="F20" t="s">
        <v>175</v>
      </c>
    </row>
    <row r="21" spans="1:6" x14ac:dyDescent="0.2">
      <c r="A21" t="s">
        <v>33</v>
      </c>
      <c r="B21" t="s">
        <v>176</v>
      </c>
      <c r="C21" t="s">
        <v>177</v>
      </c>
      <c r="D21" t="s">
        <v>178</v>
      </c>
      <c r="E21" t="s">
        <v>179</v>
      </c>
      <c r="F21" t="s">
        <v>180</v>
      </c>
    </row>
    <row r="22" spans="1:6" x14ac:dyDescent="0.2">
      <c r="A22" t="s">
        <v>34</v>
      </c>
      <c r="B22" t="s">
        <v>181</v>
      </c>
      <c r="C22" t="s">
        <v>182</v>
      </c>
      <c r="D22" t="s">
        <v>183</v>
      </c>
      <c r="E22" t="s">
        <v>184</v>
      </c>
    </row>
    <row r="23" spans="1:6" x14ac:dyDescent="0.2">
      <c r="A23" t="s">
        <v>35</v>
      </c>
      <c r="B23" t="s">
        <v>185</v>
      </c>
      <c r="C23" t="s">
        <v>186</v>
      </c>
      <c r="D23" t="s">
        <v>187</v>
      </c>
      <c r="E23" t="s">
        <v>188</v>
      </c>
      <c r="F23" t="s">
        <v>189</v>
      </c>
    </row>
    <row r="24" spans="1:6" x14ac:dyDescent="0.2">
      <c r="A24" t="s">
        <v>36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</row>
    <row r="25" spans="1:6" x14ac:dyDescent="0.2">
      <c r="A25" t="s">
        <v>37</v>
      </c>
      <c r="B25" t="s">
        <v>195</v>
      </c>
      <c r="C25" t="s">
        <v>196</v>
      </c>
      <c r="D25" t="s">
        <v>197</v>
      </c>
      <c r="E25" t="s">
        <v>198</v>
      </c>
    </row>
    <row r="26" spans="1:6" x14ac:dyDescent="0.2">
      <c r="A26" t="s">
        <v>38</v>
      </c>
      <c r="B26" t="s">
        <v>199</v>
      </c>
      <c r="C26" t="s">
        <v>200</v>
      </c>
      <c r="D26" t="s">
        <v>201</v>
      </c>
      <c r="E26" t="s">
        <v>202</v>
      </c>
      <c r="F26" t="s">
        <v>203</v>
      </c>
    </row>
    <row r="27" spans="1:6" x14ac:dyDescent="0.2">
      <c r="A27" t="s">
        <v>39</v>
      </c>
      <c r="B27" t="s">
        <v>204</v>
      </c>
      <c r="C27" t="s">
        <v>205</v>
      </c>
    </row>
    <row r="28" spans="1:6" x14ac:dyDescent="0.2">
      <c r="A28" t="s">
        <v>40</v>
      </c>
      <c r="B28" t="s">
        <v>206</v>
      </c>
      <c r="C28" t="s">
        <v>207</v>
      </c>
      <c r="D28" t="s">
        <v>208</v>
      </c>
      <c r="E28" t="s">
        <v>209</v>
      </c>
      <c r="F28" t="s">
        <v>210</v>
      </c>
    </row>
    <row r="29" spans="1:6" x14ac:dyDescent="0.2">
      <c r="A29" t="s">
        <v>41</v>
      </c>
      <c r="B29" t="s">
        <v>211</v>
      </c>
      <c r="C29" t="s">
        <v>212</v>
      </c>
      <c r="D29" t="s">
        <v>213</v>
      </c>
      <c r="E29" t="s">
        <v>214</v>
      </c>
      <c r="F29" t="s">
        <v>215</v>
      </c>
    </row>
    <row r="30" spans="1:6" x14ac:dyDescent="0.2">
      <c r="A30" t="s">
        <v>42</v>
      </c>
      <c r="B30" t="s">
        <v>216</v>
      </c>
      <c r="C30" t="s">
        <v>217</v>
      </c>
      <c r="D30" t="s">
        <v>218</v>
      </c>
      <c r="E30" t="s">
        <v>219</v>
      </c>
      <c r="F30" t="s">
        <v>220</v>
      </c>
    </row>
    <row r="31" spans="1:6" x14ac:dyDescent="0.2">
      <c r="A31" t="s">
        <v>43</v>
      </c>
      <c r="B31" t="s">
        <v>221</v>
      </c>
      <c r="C31" t="s">
        <v>222</v>
      </c>
      <c r="D31" t="s">
        <v>223</v>
      </c>
      <c r="E31" t="s">
        <v>224</v>
      </c>
      <c r="F31" t="s">
        <v>225</v>
      </c>
    </row>
    <row r="32" spans="1:6" x14ac:dyDescent="0.2">
      <c r="A32" t="s">
        <v>44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</row>
    <row r="33" spans="1:6" x14ac:dyDescent="0.2">
      <c r="A33" t="s">
        <v>45</v>
      </c>
      <c r="B33" t="s">
        <v>231</v>
      </c>
      <c r="C33" t="s">
        <v>232</v>
      </c>
      <c r="D33" t="s">
        <v>233</v>
      </c>
      <c r="E33" t="s">
        <v>234</v>
      </c>
      <c r="F33" t="s">
        <v>235</v>
      </c>
    </row>
    <row r="34" spans="1:6" x14ac:dyDescent="0.2">
      <c r="A34" t="s">
        <v>46</v>
      </c>
      <c r="B34" t="s">
        <v>236</v>
      </c>
      <c r="C34" t="s">
        <v>237</v>
      </c>
      <c r="D34" t="s">
        <v>238</v>
      </c>
      <c r="E34" t="s">
        <v>239</v>
      </c>
      <c r="F34" t="s">
        <v>240</v>
      </c>
    </row>
    <row r="35" spans="1:6" x14ac:dyDescent="0.2">
      <c r="A35" t="s">
        <v>47</v>
      </c>
      <c r="B35" t="s">
        <v>241</v>
      </c>
      <c r="C35" t="s">
        <v>242</v>
      </c>
      <c r="D35" t="s">
        <v>243</v>
      </c>
      <c r="E35" t="s">
        <v>244</v>
      </c>
      <c r="F35" t="s">
        <v>245</v>
      </c>
    </row>
    <row r="36" spans="1:6" x14ac:dyDescent="0.2">
      <c r="A36" t="s">
        <v>48</v>
      </c>
      <c r="B36" t="s">
        <v>246</v>
      </c>
      <c r="C36" t="s">
        <v>247</v>
      </c>
      <c r="D36" t="s">
        <v>248</v>
      </c>
      <c r="E36" t="s">
        <v>249</v>
      </c>
    </row>
    <row r="37" spans="1:6" x14ac:dyDescent="0.2">
      <c r="A37" t="s">
        <v>49</v>
      </c>
      <c r="B37" t="s">
        <v>250</v>
      </c>
      <c r="C37" t="s">
        <v>251</v>
      </c>
    </row>
    <row r="38" spans="1:6" x14ac:dyDescent="0.2">
      <c r="A38" t="s">
        <v>50</v>
      </c>
      <c r="B38" t="s">
        <v>252</v>
      </c>
      <c r="C38" t="s">
        <v>253</v>
      </c>
      <c r="D38" t="s">
        <v>254</v>
      </c>
      <c r="E38" t="s">
        <v>255</v>
      </c>
    </row>
    <row r="39" spans="1:6" x14ac:dyDescent="0.2">
      <c r="A39" t="s">
        <v>51</v>
      </c>
      <c r="B39" t="s">
        <v>256</v>
      </c>
      <c r="C39" t="s">
        <v>257</v>
      </c>
      <c r="D39" t="s">
        <v>258</v>
      </c>
      <c r="E39" t="s">
        <v>259</v>
      </c>
      <c r="F39" t="s">
        <v>260</v>
      </c>
    </row>
    <row r="40" spans="1:6" x14ac:dyDescent="0.2">
      <c r="A40" t="s">
        <v>52</v>
      </c>
      <c r="B40" t="s">
        <v>261</v>
      </c>
      <c r="C40" t="s">
        <v>262</v>
      </c>
      <c r="D40" t="s">
        <v>263</v>
      </c>
      <c r="E40" t="s">
        <v>264</v>
      </c>
    </row>
    <row r="41" spans="1:6" x14ac:dyDescent="0.2">
      <c r="A41" t="s">
        <v>53</v>
      </c>
      <c r="B41" t="s">
        <v>265</v>
      </c>
      <c r="C41" t="s">
        <v>266</v>
      </c>
      <c r="D41" t="s">
        <v>267</v>
      </c>
      <c r="E41" t="s">
        <v>268</v>
      </c>
      <c r="F41" t="s">
        <v>269</v>
      </c>
    </row>
    <row r="42" spans="1:6" x14ac:dyDescent="0.2">
      <c r="A42" t="s">
        <v>54</v>
      </c>
      <c r="B42" t="s">
        <v>270</v>
      </c>
      <c r="C42" t="s">
        <v>271</v>
      </c>
      <c r="D42" t="s">
        <v>272</v>
      </c>
      <c r="E42" t="s">
        <v>273</v>
      </c>
      <c r="F42" t="s">
        <v>274</v>
      </c>
    </row>
    <row r="43" spans="1:6" x14ac:dyDescent="0.2">
      <c r="A43" t="s">
        <v>55</v>
      </c>
      <c r="B43" t="s">
        <v>275</v>
      </c>
      <c r="C43" t="s">
        <v>276</v>
      </c>
      <c r="D43" t="s">
        <v>277</v>
      </c>
      <c r="E43" t="s">
        <v>278</v>
      </c>
      <c r="F43" t="s">
        <v>279</v>
      </c>
    </row>
    <row r="44" spans="1:6" x14ac:dyDescent="0.2">
      <c r="A44" t="s">
        <v>56</v>
      </c>
      <c r="B44" t="s">
        <v>280</v>
      </c>
      <c r="C44" t="s">
        <v>281</v>
      </c>
      <c r="D44" t="s">
        <v>282</v>
      </c>
      <c r="E44" t="s">
        <v>283</v>
      </c>
      <c r="F44" t="s">
        <v>284</v>
      </c>
    </row>
    <row r="45" spans="1:6" x14ac:dyDescent="0.2">
      <c r="A45" t="s">
        <v>57</v>
      </c>
      <c r="B45" t="s">
        <v>285</v>
      </c>
      <c r="C45" t="s">
        <v>286</v>
      </c>
    </row>
    <row r="46" spans="1:6" x14ac:dyDescent="0.2">
      <c r="A46" t="s">
        <v>58</v>
      </c>
      <c r="B46" t="s">
        <v>287</v>
      </c>
      <c r="C46" t="s">
        <v>288</v>
      </c>
      <c r="D46" t="s">
        <v>289</v>
      </c>
      <c r="E46" t="s">
        <v>290</v>
      </c>
      <c r="F46" t="s">
        <v>291</v>
      </c>
    </row>
    <row r="47" spans="1:6" x14ac:dyDescent="0.2">
      <c r="A47" t="s">
        <v>59</v>
      </c>
      <c r="B47" t="s">
        <v>292</v>
      </c>
      <c r="C47" t="s">
        <v>293</v>
      </c>
      <c r="D47" t="s">
        <v>294</v>
      </c>
      <c r="E47" t="s">
        <v>295</v>
      </c>
      <c r="F47" t="s">
        <v>296</v>
      </c>
    </row>
    <row r="48" spans="1:6" x14ac:dyDescent="0.2">
      <c r="A48" t="s">
        <v>60</v>
      </c>
      <c r="B48" t="s">
        <v>297</v>
      </c>
      <c r="C48" t="s">
        <v>298</v>
      </c>
      <c r="D48" t="s">
        <v>299</v>
      </c>
      <c r="E48" t="s">
        <v>300</v>
      </c>
      <c r="F48" t="s">
        <v>301</v>
      </c>
    </row>
    <row r="49" spans="1:6" x14ac:dyDescent="0.2">
      <c r="A49" t="s">
        <v>61</v>
      </c>
      <c r="B49" t="s">
        <v>302</v>
      </c>
      <c r="C49" t="s">
        <v>303</v>
      </c>
      <c r="D49" t="s">
        <v>304</v>
      </c>
      <c r="E49" t="s">
        <v>305</v>
      </c>
      <c r="F49" t="s">
        <v>306</v>
      </c>
    </row>
    <row r="50" spans="1:6" x14ac:dyDescent="0.2">
      <c r="A50" t="s">
        <v>62</v>
      </c>
      <c r="B50" t="s">
        <v>307</v>
      </c>
      <c r="C50" t="s">
        <v>308</v>
      </c>
      <c r="D50" t="s">
        <v>309</v>
      </c>
      <c r="E50" t="s">
        <v>310</v>
      </c>
      <c r="F50" t="s">
        <v>311</v>
      </c>
    </row>
    <row r="51" spans="1:6" x14ac:dyDescent="0.2">
      <c r="A51" t="s">
        <v>63</v>
      </c>
      <c r="B51" t="s">
        <v>312</v>
      </c>
      <c r="C51" t="s">
        <v>313</v>
      </c>
    </row>
    <row r="52" spans="1:6" x14ac:dyDescent="0.2">
      <c r="A52" t="s">
        <v>64</v>
      </c>
      <c r="B52" t="s">
        <v>314</v>
      </c>
      <c r="C52" t="s">
        <v>315</v>
      </c>
      <c r="D52" t="s">
        <v>316</v>
      </c>
      <c r="E52" t="s">
        <v>317</v>
      </c>
      <c r="F52" t="s">
        <v>318</v>
      </c>
    </row>
    <row r="53" spans="1:6" x14ac:dyDescent="0.2">
      <c r="A53" t="s">
        <v>65</v>
      </c>
      <c r="B53" t="s">
        <v>319</v>
      </c>
      <c r="C53" t="s">
        <v>320</v>
      </c>
      <c r="D53" t="s">
        <v>321</v>
      </c>
      <c r="E53" t="s">
        <v>322</v>
      </c>
      <c r="F53" t="s">
        <v>323</v>
      </c>
    </row>
    <row r="54" spans="1:6" x14ac:dyDescent="0.2">
      <c r="A54" t="s">
        <v>66</v>
      </c>
      <c r="B54" t="s">
        <v>324</v>
      </c>
      <c r="C54" t="s">
        <v>325</v>
      </c>
      <c r="D54" t="s">
        <v>183</v>
      </c>
      <c r="E54" t="s">
        <v>184</v>
      </c>
    </row>
    <row r="55" spans="1:6" x14ac:dyDescent="0.2">
      <c r="A55" t="s">
        <v>67</v>
      </c>
      <c r="B55" t="s">
        <v>326</v>
      </c>
      <c r="C55" t="s">
        <v>327</v>
      </c>
      <c r="D55" t="s">
        <v>328</v>
      </c>
      <c r="E55" t="s">
        <v>329</v>
      </c>
    </row>
    <row r="56" spans="1:6" x14ac:dyDescent="0.2">
      <c r="A56" t="s">
        <v>68</v>
      </c>
      <c r="B56" t="s">
        <v>330</v>
      </c>
      <c r="C56" t="s">
        <v>331</v>
      </c>
      <c r="D56" t="s">
        <v>332</v>
      </c>
      <c r="E56" t="s">
        <v>333</v>
      </c>
      <c r="F56" t="s">
        <v>175</v>
      </c>
    </row>
    <row r="57" spans="1:6" x14ac:dyDescent="0.2">
      <c r="A57" t="s">
        <v>69</v>
      </c>
      <c r="B57" t="s">
        <v>334</v>
      </c>
      <c r="C57" t="s">
        <v>335</v>
      </c>
      <c r="D57" t="s">
        <v>332</v>
      </c>
      <c r="E57" t="s">
        <v>333</v>
      </c>
    </row>
    <row r="58" spans="1:6" x14ac:dyDescent="0.2">
      <c r="A58" t="s">
        <v>70</v>
      </c>
      <c r="B58" t="s">
        <v>336</v>
      </c>
      <c r="C58" t="s">
        <v>337</v>
      </c>
      <c r="D58" t="s">
        <v>338</v>
      </c>
      <c r="E58" t="s">
        <v>339</v>
      </c>
      <c r="F58" t="s">
        <v>340</v>
      </c>
    </row>
    <row r="59" spans="1:6" x14ac:dyDescent="0.2">
      <c r="A59" t="s">
        <v>71</v>
      </c>
      <c r="B59" t="s">
        <v>341</v>
      </c>
      <c r="C59" t="s">
        <v>342</v>
      </c>
      <c r="D59" t="s">
        <v>343</v>
      </c>
      <c r="E59" t="s">
        <v>344</v>
      </c>
      <c r="F59" t="s">
        <v>345</v>
      </c>
    </row>
    <row r="60" spans="1:6" x14ac:dyDescent="0.2">
      <c r="A60" t="s">
        <v>72</v>
      </c>
      <c r="B60" t="s">
        <v>346</v>
      </c>
      <c r="C60" t="s">
        <v>347</v>
      </c>
      <c r="D60" t="s">
        <v>248</v>
      </c>
      <c r="E60" t="s">
        <v>249</v>
      </c>
      <c r="F60" t="s">
        <v>348</v>
      </c>
    </row>
    <row r="61" spans="1:6" x14ac:dyDescent="0.2">
      <c r="A61" t="s">
        <v>73</v>
      </c>
      <c r="B61" t="s">
        <v>349</v>
      </c>
      <c r="C61" t="s">
        <v>350</v>
      </c>
      <c r="D61" t="s">
        <v>351</v>
      </c>
      <c r="E61" t="s">
        <v>352</v>
      </c>
      <c r="F61" t="s">
        <v>353</v>
      </c>
    </row>
    <row r="62" spans="1:6" x14ac:dyDescent="0.2">
      <c r="A62" t="s">
        <v>74</v>
      </c>
      <c r="B62" t="s">
        <v>349</v>
      </c>
      <c r="C62" t="s">
        <v>354</v>
      </c>
      <c r="D62" t="s">
        <v>351</v>
      </c>
      <c r="E62" t="s">
        <v>352</v>
      </c>
      <c r="F62" t="s">
        <v>353</v>
      </c>
    </row>
    <row r="63" spans="1:6" x14ac:dyDescent="0.2">
      <c r="A63" t="s">
        <v>75</v>
      </c>
      <c r="B63" t="s">
        <v>355</v>
      </c>
      <c r="C63" t="s">
        <v>356</v>
      </c>
      <c r="D63" t="s">
        <v>357</v>
      </c>
      <c r="E63" t="s">
        <v>358</v>
      </c>
      <c r="F63" t="s">
        <v>359</v>
      </c>
    </row>
    <row r="64" spans="1:6" x14ac:dyDescent="0.2">
      <c r="A64" t="s">
        <v>0</v>
      </c>
      <c r="B64" t="s">
        <v>360</v>
      </c>
      <c r="C64" t="s">
        <v>361</v>
      </c>
    </row>
    <row r="65" spans="1:7" x14ac:dyDescent="0.2">
      <c r="A65" t="s">
        <v>1</v>
      </c>
      <c r="B65" t="s">
        <v>362</v>
      </c>
      <c r="C65" t="s">
        <v>363</v>
      </c>
    </row>
    <row r="66" spans="1:7" x14ac:dyDescent="0.2">
      <c r="A66" t="s">
        <v>2</v>
      </c>
      <c r="B66" t="s">
        <v>364</v>
      </c>
      <c r="C66" t="s">
        <v>365</v>
      </c>
    </row>
    <row r="67" spans="1:7" x14ac:dyDescent="0.2">
      <c r="A67" t="s">
        <v>3</v>
      </c>
      <c r="B67" t="s">
        <v>366</v>
      </c>
      <c r="C67" t="s">
        <v>367</v>
      </c>
    </row>
    <row r="68" spans="1:7" x14ac:dyDescent="0.2">
      <c r="A68" t="s">
        <v>4</v>
      </c>
      <c r="B68" t="s">
        <v>368</v>
      </c>
      <c r="C68" t="s">
        <v>369</v>
      </c>
    </row>
    <row r="69" spans="1:7" x14ac:dyDescent="0.2">
      <c r="A69" t="s">
        <v>5</v>
      </c>
      <c r="B69" t="s">
        <v>370</v>
      </c>
      <c r="C69" t="s">
        <v>371</v>
      </c>
    </row>
    <row r="70" spans="1:7" x14ac:dyDescent="0.2">
      <c r="A70" t="s">
        <v>6</v>
      </c>
      <c r="B70" t="s">
        <v>372</v>
      </c>
      <c r="C70" t="s">
        <v>373</v>
      </c>
    </row>
    <row r="71" spans="1:7" x14ac:dyDescent="0.2">
      <c r="A71" t="s">
        <v>7</v>
      </c>
      <c r="B71" t="s">
        <v>374</v>
      </c>
      <c r="C71" t="s">
        <v>375</v>
      </c>
    </row>
    <row r="72" spans="1:7" x14ac:dyDescent="0.2">
      <c r="A72" t="s">
        <v>8</v>
      </c>
      <c r="B72" t="s">
        <v>376</v>
      </c>
      <c r="C72" t="s">
        <v>377</v>
      </c>
    </row>
    <row r="73" spans="1:7" x14ac:dyDescent="0.2">
      <c r="A73" t="s">
        <v>9</v>
      </c>
      <c r="B73" t="s">
        <v>378</v>
      </c>
      <c r="C73" t="s">
        <v>379</v>
      </c>
    </row>
    <row r="74" spans="1:7" x14ac:dyDescent="0.2">
      <c r="A74" t="s">
        <v>10</v>
      </c>
      <c r="B74" t="s">
        <v>380</v>
      </c>
      <c r="C74" t="s">
        <v>381</v>
      </c>
    </row>
    <row r="75" spans="1:7" x14ac:dyDescent="0.2">
      <c r="A75" t="s">
        <v>11</v>
      </c>
      <c r="B75" t="s">
        <v>382</v>
      </c>
      <c r="C75" t="s">
        <v>383</v>
      </c>
    </row>
    <row r="76" spans="1:7" x14ac:dyDescent="0.2">
      <c r="A76" t="s">
        <v>12</v>
      </c>
      <c r="B76" t="s">
        <v>384</v>
      </c>
      <c r="C76" t="s">
        <v>385</v>
      </c>
    </row>
    <row r="77" spans="1:7" x14ac:dyDescent="0.2">
      <c r="A77" t="s">
        <v>13</v>
      </c>
      <c r="B77" t="s">
        <v>386</v>
      </c>
      <c r="C77" t="s">
        <v>387</v>
      </c>
    </row>
    <row r="78" spans="1:7" x14ac:dyDescent="0.2">
      <c r="A78" t="s">
        <v>505</v>
      </c>
      <c r="B78" t="s">
        <v>388</v>
      </c>
      <c r="C78" t="s">
        <v>506</v>
      </c>
      <c r="G78" s="3"/>
    </row>
  </sheetData>
  <autoFilter ref="A1:G78" xr:uid="{00000000-0009-0000-0000-000002000000}"/>
  <phoneticPr fontId="1" type="noConversion"/>
  <pageMargins left="0.75" right="0.75" top="1" bottom="1" header="0.5" footer="0.5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zoomScale="148" zoomScaleNormal="148" workbookViewId="0">
      <selection activeCell="G16" sqref="G16"/>
    </sheetView>
  </sheetViews>
  <sheetFormatPr defaultColWidth="8.85546875" defaultRowHeight="12.75" x14ac:dyDescent="0.2"/>
  <cols>
    <col min="1" max="4" width="13.28515625" customWidth="1"/>
    <col min="5" max="5" width="20" customWidth="1"/>
    <col min="6" max="8" width="13.28515625" customWidth="1"/>
  </cols>
  <sheetData>
    <row r="1" spans="1:8" s="5" customFormat="1" ht="30.75" customHeight="1" thickBot="1" x14ac:dyDescent="0.25">
      <c r="A1" s="12" t="s">
        <v>507</v>
      </c>
      <c r="B1" s="13" t="s">
        <v>508</v>
      </c>
      <c r="C1" s="13" t="s">
        <v>523</v>
      </c>
      <c r="D1" s="13" t="s">
        <v>522</v>
      </c>
      <c r="E1" s="13" t="s">
        <v>509</v>
      </c>
      <c r="F1" s="13" t="s">
        <v>525</v>
      </c>
      <c r="G1" s="13" t="s">
        <v>510</v>
      </c>
      <c r="H1" s="14" t="s">
        <v>526</v>
      </c>
    </row>
    <row r="2" spans="1:8" x14ac:dyDescent="0.2">
      <c r="A2" s="6">
        <v>1.1000000000000001</v>
      </c>
      <c r="B2" s="7" t="s">
        <v>511</v>
      </c>
      <c r="C2" s="7">
        <v>10</v>
      </c>
      <c r="D2" s="7" t="s">
        <v>512</v>
      </c>
      <c r="E2" s="17">
        <v>0.80695627692340999</v>
      </c>
      <c r="F2" s="24">
        <f>E2/C2</f>
        <v>8.0695627692340996E-2</v>
      </c>
      <c r="G2" s="25">
        <v>80</v>
      </c>
      <c r="H2" s="26">
        <f>G2/C2</f>
        <v>8</v>
      </c>
    </row>
    <row r="3" spans="1:8" x14ac:dyDescent="0.2">
      <c r="A3" s="8">
        <v>1.2</v>
      </c>
      <c r="B3" s="9" t="s">
        <v>513</v>
      </c>
      <c r="C3" s="9">
        <v>18</v>
      </c>
      <c r="D3" s="9" t="s">
        <v>512</v>
      </c>
      <c r="E3" s="18">
        <v>0.50801224207900997</v>
      </c>
      <c r="F3" s="19">
        <f t="shared" ref="F3:F6" si="0">E3/C3</f>
        <v>2.8222902337722774E-2</v>
      </c>
      <c r="G3" s="20">
        <v>57.5</v>
      </c>
      <c r="H3" s="21">
        <f t="shared" ref="H3:H6" si="1">G3/C3</f>
        <v>3.1944444444444446</v>
      </c>
    </row>
    <row r="4" spans="1:8" x14ac:dyDescent="0.2">
      <c r="A4" s="8">
        <v>1.3</v>
      </c>
      <c r="B4" s="9" t="s">
        <v>514</v>
      </c>
      <c r="C4" s="9">
        <v>12</v>
      </c>
      <c r="D4" s="9" t="s">
        <v>512</v>
      </c>
      <c r="E4" s="18">
        <v>0.44533313144898001</v>
      </c>
      <c r="F4" s="19">
        <f t="shared" si="0"/>
        <v>3.7111094287414999E-2</v>
      </c>
      <c r="G4" s="20">
        <v>45.5</v>
      </c>
      <c r="H4" s="21">
        <f t="shared" si="1"/>
        <v>3.7916666666666665</v>
      </c>
    </row>
    <row r="5" spans="1:8" x14ac:dyDescent="0.2">
      <c r="A5" s="8">
        <v>1.4</v>
      </c>
      <c r="B5" s="9" t="s">
        <v>515</v>
      </c>
      <c r="C5" s="9">
        <v>12</v>
      </c>
      <c r="D5" s="9" t="s">
        <v>512</v>
      </c>
      <c r="E5" s="18">
        <v>0.63290782797028899</v>
      </c>
      <c r="F5" s="19">
        <f t="shared" si="0"/>
        <v>5.2742318997524081E-2</v>
      </c>
      <c r="G5" s="20">
        <v>59</v>
      </c>
      <c r="H5" s="21">
        <f t="shared" si="1"/>
        <v>4.916666666666667</v>
      </c>
    </row>
    <row r="6" spans="1:8" x14ac:dyDescent="0.2">
      <c r="A6" s="8">
        <v>1.5</v>
      </c>
      <c r="B6" s="9" t="s">
        <v>511</v>
      </c>
      <c r="C6" s="9">
        <v>10</v>
      </c>
      <c r="D6" s="9" t="s">
        <v>516</v>
      </c>
      <c r="E6" s="19">
        <v>0.23598477353630501</v>
      </c>
      <c r="F6" s="19">
        <f t="shared" si="0"/>
        <v>2.35984773536305E-2</v>
      </c>
      <c r="G6" s="20">
        <v>27.5</v>
      </c>
      <c r="H6" s="21">
        <f t="shared" si="1"/>
        <v>2.75</v>
      </c>
    </row>
    <row r="7" spans="1:8" x14ac:dyDescent="0.2">
      <c r="A7" s="8">
        <v>1.6</v>
      </c>
      <c r="B7" s="9" t="s">
        <v>513</v>
      </c>
      <c r="C7" s="9">
        <v>18</v>
      </c>
      <c r="D7" s="9" t="s">
        <v>516</v>
      </c>
      <c r="E7" s="15" t="s">
        <v>524</v>
      </c>
      <c r="F7" s="15" t="s">
        <v>524</v>
      </c>
      <c r="G7" s="15" t="s">
        <v>524</v>
      </c>
      <c r="H7" s="22" t="s">
        <v>524</v>
      </c>
    </row>
    <row r="8" spans="1:8" x14ac:dyDescent="0.2">
      <c r="A8" s="8">
        <v>1.7</v>
      </c>
      <c r="B8" s="9" t="s">
        <v>514</v>
      </c>
      <c r="C8" s="9">
        <v>12</v>
      </c>
      <c r="D8" s="9" t="s">
        <v>516</v>
      </c>
      <c r="E8" s="15" t="s">
        <v>524</v>
      </c>
      <c r="F8" s="15" t="s">
        <v>524</v>
      </c>
      <c r="G8" s="15" t="s">
        <v>524</v>
      </c>
      <c r="H8" s="22" t="s">
        <v>524</v>
      </c>
    </row>
    <row r="9" spans="1:8" ht="13.5" thickBot="1" x14ac:dyDescent="0.25">
      <c r="A9" s="10">
        <v>1.8</v>
      </c>
      <c r="B9" s="11" t="s">
        <v>515</v>
      </c>
      <c r="C9" s="11">
        <v>12</v>
      </c>
      <c r="D9" s="11" t="s">
        <v>516</v>
      </c>
      <c r="E9" s="16" t="s">
        <v>524</v>
      </c>
      <c r="F9" s="16" t="s">
        <v>524</v>
      </c>
      <c r="G9" s="16" t="s">
        <v>524</v>
      </c>
      <c r="H9" s="23" t="s">
        <v>524</v>
      </c>
    </row>
    <row r="11" spans="1:8" ht="13.5" thickBot="1" x14ac:dyDescent="0.25">
      <c r="A11" s="4"/>
      <c r="B11" s="4"/>
      <c r="C11" s="4"/>
      <c r="D11" s="4"/>
      <c r="E11" s="4"/>
      <c r="F11" s="4"/>
    </row>
    <row r="12" spans="1:8" ht="34.5" thickBot="1" x14ac:dyDescent="0.25">
      <c r="A12" s="29" t="s">
        <v>507</v>
      </c>
      <c r="B12" s="30" t="s">
        <v>508</v>
      </c>
      <c r="C12" s="30" t="s">
        <v>523</v>
      </c>
      <c r="D12" s="30" t="s">
        <v>522</v>
      </c>
      <c r="E12" s="30" t="s">
        <v>517</v>
      </c>
      <c r="F12" s="31" t="s">
        <v>509</v>
      </c>
    </row>
    <row r="13" spans="1:8" x14ac:dyDescent="0.2">
      <c r="A13" s="6">
        <v>2.1</v>
      </c>
      <c r="B13" s="7" t="s">
        <v>511</v>
      </c>
      <c r="C13" s="7">
        <v>10</v>
      </c>
      <c r="D13" s="7" t="s">
        <v>512</v>
      </c>
      <c r="E13" s="7" t="s">
        <v>108</v>
      </c>
      <c r="F13" s="26">
        <v>0</v>
      </c>
    </row>
    <row r="14" spans="1:8" x14ac:dyDescent="0.2">
      <c r="A14" s="8">
        <v>2.2000000000000002</v>
      </c>
      <c r="B14" s="9" t="s">
        <v>513</v>
      </c>
      <c r="C14" s="9">
        <v>18</v>
      </c>
      <c r="D14" s="9" t="s">
        <v>512</v>
      </c>
      <c r="E14" s="9" t="s">
        <v>108</v>
      </c>
      <c r="F14" s="21">
        <v>0</v>
      </c>
    </row>
    <row r="15" spans="1:8" x14ac:dyDescent="0.2">
      <c r="A15" s="8">
        <v>2.2999999999999998</v>
      </c>
      <c r="B15" s="9" t="s">
        <v>515</v>
      </c>
      <c r="C15" s="9">
        <v>12</v>
      </c>
      <c r="D15" s="9" t="s">
        <v>512</v>
      </c>
      <c r="E15" s="9" t="s">
        <v>108</v>
      </c>
      <c r="F15" s="21">
        <v>0.56978887632080499</v>
      </c>
    </row>
    <row r="16" spans="1:8" x14ac:dyDescent="0.2">
      <c r="A16" s="8">
        <v>2.4</v>
      </c>
      <c r="B16" s="9" t="s">
        <v>511</v>
      </c>
      <c r="C16" s="9">
        <v>10</v>
      </c>
      <c r="D16" s="9" t="s">
        <v>512</v>
      </c>
      <c r="E16" s="9" t="s">
        <v>518</v>
      </c>
      <c r="F16" s="21">
        <v>0.80695627692340999</v>
      </c>
    </row>
    <row r="17" spans="1:6" x14ac:dyDescent="0.2">
      <c r="A17" s="8">
        <v>2.5</v>
      </c>
      <c r="B17" s="9" t="s">
        <v>515</v>
      </c>
      <c r="C17" s="9">
        <v>12</v>
      </c>
      <c r="D17" s="9" t="s">
        <v>512</v>
      </c>
      <c r="E17" s="9" t="s">
        <v>518</v>
      </c>
      <c r="F17" s="21">
        <v>0.60756058518210299</v>
      </c>
    </row>
    <row r="18" spans="1:6" x14ac:dyDescent="0.2">
      <c r="A18" s="8">
        <v>2.6</v>
      </c>
      <c r="B18" s="9" t="s">
        <v>511</v>
      </c>
      <c r="C18" s="9">
        <v>10</v>
      </c>
      <c r="D18" s="9" t="s">
        <v>512</v>
      </c>
      <c r="E18" s="9" t="s">
        <v>519</v>
      </c>
      <c r="F18" s="21">
        <v>0.51153707940462201</v>
      </c>
    </row>
    <row r="19" spans="1:6" x14ac:dyDescent="0.2">
      <c r="A19" s="8">
        <v>2.7</v>
      </c>
      <c r="B19" s="9" t="s">
        <v>513</v>
      </c>
      <c r="C19" s="9">
        <v>18</v>
      </c>
      <c r="D19" s="9" t="s">
        <v>512</v>
      </c>
      <c r="E19" s="9" t="s">
        <v>519</v>
      </c>
      <c r="F19" s="21">
        <v>0</v>
      </c>
    </row>
    <row r="20" spans="1:6" x14ac:dyDescent="0.2">
      <c r="A20" s="8">
        <v>2.8</v>
      </c>
      <c r="B20" s="9" t="s">
        <v>511</v>
      </c>
      <c r="C20" s="9">
        <v>10</v>
      </c>
      <c r="D20" s="9" t="s">
        <v>512</v>
      </c>
      <c r="E20" s="9" t="s">
        <v>520</v>
      </c>
      <c r="F20" s="21">
        <v>0.39948017642043299</v>
      </c>
    </row>
    <row r="21" spans="1:6" ht="13.5" thickBot="1" x14ac:dyDescent="0.25">
      <c r="A21" s="10">
        <v>2.9</v>
      </c>
      <c r="B21" s="11" t="s">
        <v>513</v>
      </c>
      <c r="C21" s="11">
        <v>18</v>
      </c>
      <c r="D21" s="11" t="s">
        <v>512</v>
      </c>
      <c r="E21" s="11" t="s">
        <v>520</v>
      </c>
      <c r="F21" s="28">
        <v>0.116587892114228</v>
      </c>
    </row>
    <row r="22" spans="1:6" x14ac:dyDescent="0.2">
      <c r="A22" s="4"/>
      <c r="B22" s="4"/>
      <c r="C22" s="4"/>
      <c r="D22" s="4"/>
      <c r="E22" s="4"/>
      <c r="F22" s="4"/>
    </row>
    <row r="23" spans="1:6" x14ac:dyDescent="0.2">
      <c r="A23" s="4"/>
      <c r="B23" s="4"/>
      <c r="C23" s="4"/>
      <c r="D23" s="4"/>
      <c r="E23" s="4"/>
      <c r="F23" s="4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4"/>
  <sheetViews>
    <sheetView topLeftCell="A28" zoomScale="190" zoomScaleNormal="190" workbookViewId="0">
      <selection activeCell="C54" sqref="C54"/>
    </sheetView>
  </sheetViews>
  <sheetFormatPr defaultColWidth="8.85546875" defaultRowHeight="12.75" x14ac:dyDescent="0.2"/>
  <cols>
    <col min="1" max="1" width="11" bestFit="1" customWidth="1"/>
    <col min="2" max="2" width="13.7109375" bestFit="1" customWidth="1"/>
    <col min="3" max="3" width="47.85546875" bestFit="1" customWidth="1"/>
  </cols>
  <sheetData>
    <row r="1" spans="1:3" x14ac:dyDescent="0.2">
      <c r="A1" s="1" t="s">
        <v>93</v>
      </c>
      <c r="B1" s="1" t="s">
        <v>389</v>
      </c>
      <c r="C1" s="1" t="s">
        <v>95</v>
      </c>
    </row>
    <row r="2" spans="1:3" x14ac:dyDescent="0.2">
      <c r="A2" t="s">
        <v>403</v>
      </c>
      <c r="B2" t="s">
        <v>404</v>
      </c>
      <c r="C2" t="s">
        <v>402</v>
      </c>
    </row>
    <row r="3" spans="1:3" x14ac:dyDescent="0.2">
      <c r="A3" t="s">
        <v>413</v>
      </c>
      <c r="B3" t="s">
        <v>404</v>
      </c>
      <c r="C3" t="s">
        <v>412</v>
      </c>
    </row>
    <row r="4" spans="1:3" x14ac:dyDescent="0.2">
      <c r="A4" t="s">
        <v>422</v>
      </c>
      <c r="B4" t="s">
        <v>404</v>
      </c>
      <c r="C4" t="s">
        <v>421</v>
      </c>
    </row>
    <row r="5" spans="1:3" x14ac:dyDescent="0.2">
      <c r="A5" t="s">
        <v>431</v>
      </c>
      <c r="B5" t="s">
        <v>404</v>
      </c>
      <c r="C5" t="s">
        <v>430</v>
      </c>
    </row>
    <row r="6" spans="1:3" x14ac:dyDescent="0.2">
      <c r="A6" t="s">
        <v>442</v>
      </c>
      <c r="B6" t="s">
        <v>404</v>
      </c>
      <c r="C6" t="s">
        <v>441</v>
      </c>
    </row>
    <row r="7" spans="1:3" x14ac:dyDescent="0.2">
      <c r="A7" t="s">
        <v>445</v>
      </c>
      <c r="B7" t="s">
        <v>404</v>
      </c>
      <c r="C7" t="s">
        <v>444</v>
      </c>
    </row>
    <row r="8" spans="1:3" x14ac:dyDescent="0.2">
      <c r="A8" t="s">
        <v>450</v>
      </c>
      <c r="B8" t="s">
        <v>404</v>
      </c>
      <c r="C8" t="s">
        <v>451</v>
      </c>
    </row>
    <row r="9" spans="1:3" x14ac:dyDescent="0.2">
      <c r="A9" t="s">
        <v>458</v>
      </c>
      <c r="B9" t="s">
        <v>404</v>
      </c>
      <c r="C9" t="s">
        <v>457</v>
      </c>
    </row>
    <row r="10" spans="1:3" x14ac:dyDescent="0.2">
      <c r="A10" t="s">
        <v>459</v>
      </c>
      <c r="B10" t="s">
        <v>404</v>
      </c>
      <c r="C10" t="s">
        <v>455</v>
      </c>
    </row>
    <row r="11" spans="1:3" x14ac:dyDescent="0.2">
      <c r="A11" t="s">
        <v>464</v>
      </c>
      <c r="B11" t="s">
        <v>404</v>
      </c>
      <c r="C11" t="s">
        <v>463</v>
      </c>
    </row>
    <row r="12" spans="1:3" x14ac:dyDescent="0.2">
      <c r="A12" t="s">
        <v>477</v>
      </c>
      <c r="B12" t="s">
        <v>404</v>
      </c>
      <c r="C12" t="s">
        <v>476</v>
      </c>
    </row>
    <row r="13" spans="1:3" x14ac:dyDescent="0.2">
      <c r="A13" t="s">
        <v>484</v>
      </c>
      <c r="B13" t="s">
        <v>404</v>
      </c>
      <c r="C13" t="s">
        <v>483</v>
      </c>
    </row>
    <row r="14" spans="1:3" x14ac:dyDescent="0.2">
      <c r="A14" t="s">
        <v>487</v>
      </c>
      <c r="B14" t="s">
        <v>404</v>
      </c>
      <c r="C14" t="s">
        <v>486</v>
      </c>
    </row>
    <row r="15" spans="1:3" x14ac:dyDescent="0.2">
      <c r="A15" t="s">
        <v>500</v>
      </c>
      <c r="B15" t="s">
        <v>404</v>
      </c>
      <c r="C15" t="s">
        <v>499</v>
      </c>
    </row>
    <row r="16" spans="1:3" x14ac:dyDescent="0.2">
      <c r="A16" t="s">
        <v>390</v>
      </c>
      <c r="B16" t="s">
        <v>391</v>
      </c>
      <c r="C16" t="s">
        <v>392</v>
      </c>
    </row>
    <row r="17" spans="1:3" x14ac:dyDescent="0.2">
      <c r="A17" t="s">
        <v>393</v>
      </c>
      <c r="B17" t="s">
        <v>391</v>
      </c>
      <c r="C17" t="s">
        <v>394</v>
      </c>
    </row>
    <row r="18" spans="1:3" x14ac:dyDescent="0.2">
      <c r="A18" t="s">
        <v>395</v>
      </c>
      <c r="B18" t="s">
        <v>391</v>
      </c>
      <c r="C18" t="s">
        <v>396</v>
      </c>
    </row>
    <row r="19" spans="1:3" x14ac:dyDescent="0.2">
      <c r="A19" t="s">
        <v>397</v>
      </c>
      <c r="B19" t="s">
        <v>391</v>
      </c>
      <c r="C19" t="s">
        <v>398</v>
      </c>
    </row>
    <row r="20" spans="1:3" x14ac:dyDescent="0.2">
      <c r="A20" t="s">
        <v>399</v>
      </c>
      <c r="B20" t="s">
        <v>391</v>
      </c>
      <c r="C20" t="s">
        <v>400</v>
      </c>
    </row>
    <row r="21" spans="1:3" x14ac:dyDescent="0.2">
      <c r="A21" t="s">
        <v>401</v>
      </c>
      <c r="B21" t="s">
        <v>391</v>
      </c>
      <c r="C21" t="s">
        <v>402</v>
      </c>
    </row>
    <row r="22" spans="1:3" x14ac:dyDescent="0.2">
      <c r="A22" t="s">
        <v>405</v>
      </c>
      <c r="B22" t="s">
        <v>391</v>
      </c>
      <c r="C22" t="s">
        <v>406</v>
      </c>
    </row>
    <row r="23" spans="1:3" x14ac:dyDescent="0.2">
      <c r="A23" t="s">
        <v>407</v>
      </c>
      <c r="B23" t="s">
        <v>391</v>
      </c>
      <c r="C23" t="s">
        <v>408</v>
      </c>
    </row>
    <row r="24" spans="1:3" x14ac:dyDescent="0.2">
      <c r="A24" t="s">
        <v>409</v>
      </c>
      <c r="B24" t="s">
        <v>391</v>
      </c>
      <c r="C24" t="s">
        <v>410</v>
      </c>
    </row>
    <row r="25" spans="1:3" x14ac:dyDescent="0.2">
      <c r="A25" t="s">
        <v>411</v>
      </c>
      <c r="B25" t="s">
        <v>391</v>
      </c>
      <c r="C25" t="s">
        <v>412</v>
      </c>
    </row>
    <row r="26" spans="1:3" x14ac:dyDescent="0.2">
      <c r="A26" t="s">
        <v>414</v>
      </c>
      <c r="B26" t="s">
        <v>391</v>
      </c>
      <c r="C26" t="s">
        <v>415</v>
      </c>
    </row>
    <row r="27" spans="1:3" x14ac:dyDescent="0.2">
      <c r="A27" t="s">
        <v>416</v>
      </c>
      <c r="B27" t="s">
        <v>391</v>
      </c>
      <c r="C27" t="s">
        <v>417</v>
      </c>
    </row>
    <row r="28" spans="1:3" x14ac:dyDescent="0.2">
      <c r="A28" t="s">
        <v>418</v>
      </c>
      <c r="B28" t="s">
        <v>391</v>
      </c>
      <c r="C28" t="s">
        <v>419</v>
      </c>
    </row>
    <row r="29" spans="1:3" x14ac:dyDescent="0.2">
      <c r="A29" t="s">
        <v>420</v>
      </c>
      <c r="B29" t="s">
        <v>391</v>
      </c>
      <c r="C29" t="s">
        <v>421</v>
      </c>
    </row>
    <row r="30" spans="1:3" x14ac:dyDescent="0.2">
      <c r="A30" t="s">
        <v>423</v>
      </c>
      <c r="B30" t="s">
        <v>391</v>
      </c>
      <c r="C30" t="s">
        <v>424</v>
      </c>
    </row>
    <row r="31" spans="1:3" x14ac:dyDescent="0.2">
      <c r="A31" t="s">
        <v>425</v>
      </c>
      <c r="B31" t="s">
        <v>391</v>
      </c>
      <c r="C31" t="s">
        <v>426</v>
      </c>
    </row>
    <row r="32" spans="1:3" x14ac:dyDescent="0.2">
      <c r="A32" t="s">
        <v>427</v>
      </c>
      <c r="B32" t="s">
        <v>391</v>
      </c>
      <c r="C32" t="s">
        <v>428</v>
      </c>
    </row>
    <row r="33" spans="1:3" x14ac:dyDescent="0.2">
      <c r="A33" t="s">
        <v>429</v>
      </c>
      <c r="B33" t="s">
        <v>391</v>
      </c>
      <c r="C33" t="s">
        <v>430</v>
      </c>
    </row>
    <row r="34" spans="1:3" x14ac:dyDescent="0.2">
      <c r="A34" t="s">
        <v>432</v>
      </c>
      <c r="B34" t="s">
        <v>391</v>
      </c>
      <c r="C34" t="s">
        <v>433</v>
      </c>
    </row>
    <row r="35" spans="1:3" x14ac:dyDescent="0.2">
      <c r="A35" t="s">
        <v>434</v>
      </c>
      <c r="B35" t="s">
        <v>391</v>
      </c>
      <c r="C35" t="s">
        <v>435</v>
      </c>
    </row>
    <row r="36" spans="1:3" x14ac:dyDescent="0.2">
      <c r="A36" t="s">
        <v>436</v>
      </c>
      <c r="B36" t="s">
        <v>391</v>
      </c>
      <c r="C36" t="s">
        <v>437</v>
      </c>
    </row>
    <row r="37" spans="1:3" x14ac:dyDescent="0.2">
      <c r="A37" t="s">
        <v>438</v>
      </c>
      <c r="B37" t="s">
        <v>391</v>
      </c>
      <c r="C37" t="s">
        <v>439</v>
      </c>
    </row>
    <row r="38" spans="1:3" x14ac:dyDescent="0.2">
      <c r="A38" t="s">
        <v>440</v>
      </c>
      <c r="B38" t="s">
        <v>391</v>
      </c>
      <c r="C38" t="s">
        <v>441</v>
      </c>
    </row>
    <row r="39" spans="1:3" x14ac:dyDescent="0.2">
      <c r="A39" t="s">
        <v>443</v>
      </c>
      <c r="B39" t="s">
        <v>391</v>
      </c>
      <c r="C39" t="s">
        <v>444</v>
      </c>
    </row>
    <row r="40" spans="1:3" x14ac:dyDescent="0.2">
      <c r="A40" t="s">
        <v>446</v>
      </c>
      <c r="B40" t="s">
        <v>391</v>
      </c>
      <c r="C40" t="s">
        <v>447</v>
      </c>
    </row>
    <row r="41" spans="1:3" x14ac:dyDescent="0.2">
      <c r="A41" t="s">
        <v>448</v>
      </c>
      <c r="B41" t="s">
        <v>391</v>
      </c>
      <c r="C41" t="s">
        <v>449</v>
      </c>
    </row>
    <row r="42" spans="1:3" x14ac:dyDescent="0.2">
      <c r="A42" t="s">
        <v>452</v>
      </c>
      <c r="B42" t="s">
        <v>391</v>
      </c>
      <c r="C42" t="s">
        <v>453</v>
      </c>
    </row>
    <row r="43" spans="1:3" x14ac:dyDescent="0.2">
      <c r="A43" t="s">
        <v>454</v>
      </c>
      <c r="B43" t="s">
        <v>391</v>
      </c>
      <c r="C43" t="s">
        <v>455</v>
      </c>
    </row>
    <row r="44" spans="1:3" x14ac:dyDescent="0.2">
      <c r="A44" t="s">
        <v>456</v>
      </c>
      <c r="B44" t="s">
        <v>391</v>
      </c>
      <c r="C44" t="s">
        <v>457</v>
      </c>
    </row>
    <row r="45" spans="1:3" x14ac:dyDescent="0.2">
      <c r="A45" t="s">
        <v>460</v>
      </c>
      <c r="B45" t="s">
        <v>391</v>
      </c>
      <c r="C45" t="s">
        <v>461</v>
      </c>
    </row>
    <row r="46" spans="1:3" x14ac:dyDescent="0.2">
      <c r="A46" t="s">
        <v>462</v>
      </c>
      <c r="B46" t="s">
        <v>391</v>
      </c>
      <c r="C46" t="s">
        <v>463</v>
      </c>
    </row>
    <row r="47" spans="1:3" x14ac:dyDescent="0.2">
      <c r="A47" t="s">
        <v>465</v>
      </c>
      <c r="B47" t="s">
        <v>391</v>
      </c>
      <c r="C47" t="s">
        <v>466</v>
      </c>
    </row>
    <row r="48" spans="1:3" x14ac:dyDescent="0.2">
      <c r="A48" t="s">
        <v>467</v>
      </c>
      <c r="B48" t="s">
        <v>391</v>
      </c>
      <c r="C48" t="s">
        <v>468</v>
      </c>
    </row>
    <row r="49" spans="1:3" x14ac:dyDescent="0.2">
      <c r="A49" t="s">
        <v>469</v>
      </c>
      <c r="B49" t="s">
        <v>391</v>
      </c>
      <c r="C49" t="s">
        <v>470</v>
      </c>
    </row>
    <row r="50" spans="1:3" x14ac:dyDescent="0.2">
      <c r="A50" t="s">
        <v>471</v>
      </c>
      <c r="B50" t="s">
        <v>391</v>
      </c>
      <c r="C50" t="s">
        <v>472</v>
      </c>
    </row>
    <row r="51" spans="1:3" x14ac:dyDescent="0.2">
      <c r="A51" t="s">
        <v>473</v>
      </c>
      <c r="B51" t="s">
        <v>391</v>
      </c>
      <c r="C51" t="s">
        <v>474</v>
      </c>
    </row>
    <row r="52" spans="1:3" x14ac:dyDescent="0.2">
      <c r="A52" t="s">
        <v>475</v>
      </c>
      <c r="B52" t="s">
        <v>391</v>
      </c>
      <c r="C52" t="s">
        <v>476</v>
      </c>
    </row>
    <row r="53" spans="1:3" x14ac:dyDescent="0.2">
      <c r="A53" t="s">
        <v>478</v>
      </c>
      <c r="B53" t="s">
        <v>391</v>
      </c>
      <c r="C53" t="s">
        <v>479</v>
      </c>
    </row>
    <row r="54" spans="1:3" x14ac:dyDescent="0.2">
      <c r="A54" t="s">
        <v>480</v>
      </c>
      <c r="B54" t="s">
        <v>391</v>
      </c>
      <c r="C54" t="s">
        <v>481</v>
      </c>
    </row>
    <row r="55" spans="1:3" x14ac:dyDescent="0.2">
      <c r="A55" t="s">
        <v>482</v>
      </c>
      <c r="B55" t="s">
        <v>391</v>
      </c>
      <c r="C55" t="s">
        <v>483</v>
      </c>
    </row>
    <row r="56" spans="1:3" x14ac:dyDescent="0.2">
      <c r="A56" t="s">
        <v>485</v>
      </c>
      <c r="B56" t="s">
        <v>391</v>
      </c>
      <c r="C56" t="s">
        <v>486</v>
      </c>
    </row>
    <row r="57" spans="1:3" x14ac:dyDescent="0.2">
      <c r="A57" t="s">
        <v>488</v>
      </c>
      <c r="B57" t="s">
        <v>391</v>
      </c>
      <c r="C57" t="s">
        <v>489</v>
      </c>
    </row>
    <row r="58" spans="1:3" x14ac:dyDescent="0.2">
      <c r="A58" t="s">
        <v>490</v>
      </c>
      <c r="B58" t="s">
        <v>391</v>
      </c>
      <c r="C58" t="s">
        <v>491</v>
      </c>
    </row>
    <row r="59" spans="1:3" x14ac:dyDescent="0.2">
      <c r="A59" t="s">
        <v>492</v>
      </c>
      <c r="B59" t="s">
        <v>391</v>
      </c>
      <c r="C59" t="s">
        <v>493</v>
      </c>
    </row>
    <row r="60" spans="1:3" x14ac:dyDescent="0.2">
      <c r="A60" t="s">
        <v>494</v>
      </c>
      <c r="B60" t="s">
        <v>391</v>
      </c>
      <c r="C60" t="s">
        <v>495</v>
      </c>
    </row>
    <row r="61" spans="1:3" x14ac:dyDescent="0.2">
      <c r="A61" t="s">
        <v>496</v>
      </c>
      <c r="B61" t="s">
        <v>391</v>
      </c>
      <c r="C61" t="s">
        <v>497</v>
      </c>
    </row>
    <row r="62" spans="1:3" x14ac:dyDescent="0.2">
      <c r="A62" t="s">
        <v>498</v>
      </c>
      <c r="B62" t="s">
        <v>391</v>
      </c>
      <c r="C62" t="s">
        <v>499</v>
      </c>
    </row>
    <row r="63" spans="1:3" x14ac:dyDescent="0.2">
      <c r="A63" t="s">
        <v>501</v>
      </c>
      <c r="B63" t="s">
        <v>391</v>
      </c>
      <c r="C63" t="s">
        <v>502</v>
      </c>
    </row>
    <row r="64" spans="1:3" x14ac:dyDescent="0.2">
      <c r="A64" t="s">
        <v>503</v>
      </c>
      <c r="B64" t="s">
        <v>391</v>
      </c>
      <c r="C64" t="s">
        <v>504</v>
      </c>
    </row>
  </sheetData>
  <autoFilter ref="B1:B64" xr:uid="{6B9E2F60-F69A-46C0-841A-CF4325613D29}">
    <sortState xmlns:xlrd2="http://schemas.microsoft.com/office/spreadsheetml/2017/richdata2" ref="A2:C64">
      <sortCondition descending="1" ref="B1:B64"/>
    </sortState>
  </autoFilter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Ecoli_core_S</vt:lpstr>
      <vt:lpstr>Reaction max and min</vt:lpstr>
      <vt:lpstr>rxn_info</vt:lpstr>
      <vt:lpstr>Sheet1</vt:lpstr>
      <vt:lpstr>cmpd_info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Lubin</dc:creator>
  <cp:lastModifiedBy>Diego</cp:lastModifiedBy>
  <dcterms:created xsi:type="dcterms:W3CDTF">2006-01-18T19:52:59Z</dcterms:created>
  <dcterms:modified xsi:type="dcterms:W3CDTF">2018-12-07T02:23:18Z</dcterms:modified>
</cp:coreProperties>
</file>